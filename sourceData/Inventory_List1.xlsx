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80" tabRatio="672" firstSheet="0" activeTab="0" autoFilterDateGrouping="1"/>
  </bookViews>
  <sheets>
    <sheet xmlns:r="http://schemas.openxmlformats.org/officeDocument/2006/relationships" name="Daily -122(48219row)" sheetId="1" state="visible" r:id="rId1"/>
    <sheet xmlns:r="http://schemas.openxmlformats.org/officeDocument/2006/relationships" name="Monthly-117(49653row)" sheetId="2" state="visible" r:id="rId2"/>
    <sheet xmlns:r="http://schemas.openxmlformats.org/officeDocument/2006/relationships" name="Quarterly-1(85row)" sheetId="3" state="visible" r:id="rId3"/>
    <sheet xmlns:r="http://schemas.openxmlformats.org/officeDocument/2006/relationships" name="On request -14(2905row)" sheetId="4" state="visible" r:id="rId4"/>
    <sheet xmlns:r="http://schemas.openxmlformats.org/officeDocument/2006/relationships" name="統計" sheetId="5" state="visible" r:id="rId5"/>
    <sheet xmlns:r="http://schemas.openxmlformats.org/officeDocument/2006/relationships" name="Sheet1" sheetId="6" state="visible" r:id="rId6"/>
  </sheets>
  <definedNames>
    <definedName name="_xlnm._FilterDatabase" localSheetId="0" hidden="1">'Daily -122(48219row)'!$A$1:$J$123</definedName>
    <definedName name="_xlnm._FilterDatabase" localSheetId="1" hidden="1">'Monthly-117(49653row)'!$A$1:$I$118</definedName>
    <definedName name="_xlnm._FilterDatabase" localSheetId="3" hidden="1">'On request -14(2905row)'!$A$1:$H$15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theme="1"/>
      <sz val="10"/>
      <scheme val="minor"/>
    </font>
    <font>
      <name val="等线"/>
      <charset val="134"/>
      <color rgb="FF000000"/>
      <sz val="12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2" borderId="1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6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4" fillId="0" borderId="0" applyAlignment="1">
      <alignment vertical="center"/>
    </xf>
    <xf numFmtId="0" fontId="15" fillId="13" borderId="18" applyAlignment="1">
      <alignment vertical="center"/>
    </xf>
    <xf numFmtId="0" fontId="16" fillId="14" borderId="19" applyAlignment="1">
      <alignment vertical="center"/>
    </xf>
    <xf numFmtId="0" fontId="17" fillId="14" borderId="18" applyAlignment="1">
      <alignment vertical="center"/>
    </xf>
    <xf numFmtId="0" fontId="18" fillId="15" borderId="20" applyAlignment="1">
      <alignment vertical="center"/>
    </xf>
    <xf numFmtId="0" fontId="19" fillId="0" borderId="21" applyAlignment="1">
      <alignment vertical="center"/>
    </xf>
    <xf numFmtId="0" fontId="20" fillId="0" borderId="22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4" fillId="42" borderId="0" applyAlignment="1">
      <alignment vertical="center"/>
    </xf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wrapText="1"/>
    </xf>
    <xf numFmtId="1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2" fillId="0" borderId="1" pivotButton="0" quotePrefix="0" xfId="0"/>
    <xf numFmtId="0" fontId="3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164" fontId="3" fillId="6" borderId="4" applyAlignment="1" pivotButton="0" quotePrefix="0" xfId="1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1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8" borderId="0" pivotButton="0" quotePrefix="0" xfId="0"/>
    <xf numFmtId="0" fontId="4" fillId="8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8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vertical="center"/>
    </xf>
    <xf numFmtId="0" fontId="6" fillId="8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9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1" applyAlignment="1" pivotButton="0" quotePrefix="0" xfId="0">
      <alignment horizontal="left"/>
    </xf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  <xf numFmtId="0" fontId="0" fillId="0" borderId="12" applyAlignment="1" pivotButton="0" quotePrefix="0" xfId="0">
      <alignment vertical="center"/>
    </xf>
    <xf numFmtId="0" fontId="6" fillId="8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vertical="top"/>
    </xf>
    <xf numFmtId="0" fontId="0" fillId="10" borderId="0" applyAlignment="1" pivotButton="0" quotePrefix="0" xfId="0">
      <alignment horizontal="left" vertical="center"/>
    </xf>
    <xf numFmtId="0" fontId="6" fillId="8" borderId="0" applyAlignment="1" pivotButton="0" quotePrefix="0" xfId="0">
      <alignment vertical="top"/>
    </xf>
    <xf numFmtId="164" fontId="3" fillId="6" borderId="4" applyAlignment="1" pivotButton="0" quotePrefix="0" xfId="1">
      <alignment horizontal="center" vertical="center"/>
    </xf>
    <xf numFmtId="164" fontId="3" fillId="0" borderId="5" applyAlignment="1" pivotButton="0" quotePrefix="0" xfId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tabSelected="1" zoomScale="70" zoomScaleNormal="70" workbookViewId="0">
      <pane ySplit="1" topLeftCell="A2" activePane="bottomLeft" state="frozen"/>
      <selection activeCell="A1" sqref="A1"/>
      <selection pane="bottomLeft" activeCell="E12" sqref="E12"/>
    </sheetView>
  </sheetViews>
  <sheetFormatPr baseColWidth="8" defaultColWidth="9" defaultRowHeight="14"/>
  <cols>
    <col width="8.66666666666667" customWidth="1" style="55" min="1" max="1"/>
    <col width="46" customWidth="1" style="55" min="2" max="2"/>
    <col width="66.44166666666671" customWidth="1" style="55" min="3" max="3"/>
    <col width="40.5583333333333" customWidth="1" style="55" min="4" max="4"/>
    <col width="65.6666666666667" customWidth="1" style="41" min="5" max="5"/>
    <col width="14.6666666666667" customWidth="1" style="57" min="6" max="6"/>
    <col width="29.3333333333333" customWidth="1" style="57" min="7" max="7"/>
    <col width="33.6666666666667" customWidth="1" style="57" min="8" max="8"/>
    <col width="21.8833333333333" customWidth="1" style="44" min="9" max="9"/>
    <col width="28.1083333333333" customWidth="1" style="57" min="10" max="10"/>
  </cols>
  <sheetData>
    <row r="1" customFormat="1" s="21">
      <c r="A1" s="36" t="inlineStr">
        <is>
          <t>Item No.</t>
        </is>
      </c>
      <c r="B1" s="36" t="inlineStr">
        <is>
          <t>Task</t>
        </is>
      </c>
      <c r="C1" s="36" t="inlineStr">
        <is>
          <t>Path</t>
        </is>
      </c>
      <c r="D1" s="36" t="inlineStr">
        <is>
          <t>Program</t>
        </is>
      </c>
      <c r="E1" s="37" t="inlineStr">
        <is>
          <t>Comments</t>
        </is>
      </c>
      <c r="F1" s="21" t="inlineStr">
        <is>
          <t>is_Complicated</t>
        </is>
      </c>
      <c r="G1" s="21" t="inlineStr">
        <is>
          <t>XX Program owner (josh/mary)</t>
        </is>
      </c>
      <c r="H1" s="21" t="inlineStr">
        <is>
          <t>Associated data table names</t>
        </is>
      </c>
      <c r="I1" s="36" t="inlineStr">
        <is>
          <t>Row in XX</t>
        </is>
      </c>
      <c r="J1" s="21" t="inlineStr">
        <is>
          <t>Main Program Indicator</t>
        </is>
      </c>
    </row>
    <row r="2" ht="28" customHeight="1" s="57">
      <c r="A2" s="55" t="n">
        <v>1</v>
      </c>
      <c r="B2" s="55" t="inlineStr">
        <is>
          <t>Check IMH availability</t>
        </is>
      </c>
      <c r="C2" s="55" t="inlineStr">
        <is>
          <t>S:\Revenue by RM\Report\Analysis\</t>
        </is>
      </c>
      <c r="D2" s="55" t="inlineStr">
        <is>
          <t>Daily_IW_Check2.txt</t>
        </is>
      </c>
      <c r="E2" s="41" t="inlineStr">
        <is>
          <t>Check the daily IMH availability and start the daily jobs
Schedule in task scheduler and it's automated "Check_IW"</t>
        </is>
      </c>
      <c r="G2" t="inlineStr">
        <is>
          <t>josh</t>
        </is>
      </c>
      <c r="I2" s="44" t="n">
        <v>141</v>
      </c>
      <c r="J2" t="inlineStr">
        <is>
          <t>Y</t>
        </is>
      </c>
    </row>
    <row r="3" ht="28" customHeight="1" s="57">
      <c r="A3" s="55" t="n">
        <v>2</v>
      </c>
      <c r="B3" s="55" t="inlineStr">
        <is>
          <t>Check IMH FTP table</t>
        </is>
      </c>
      <c r="C3" s="55" t="inlineStr">
        <is>
          <t>S:\Revenue by RM\Report\Analysis\</t>
        </is>
      </c>
      <c r="D3" s="55" t="inlineStr">
        <is>
          <t>Daily_TP_Check.txt</t>
        </is>
      </c>
      <c r="E3" s="41" t="inlineStr">
        <is>
          <t>Check the daily IMH FTP table and start the daily customer profile
Schedule in task scheduler and it's automated "Check_TP"</t>
        </is>
      </c>
      <c r="G3" t="inlineStr">
        <is>
          <t>josh</t>
        </is>
      </c>
      <c r="I3" s="44" t="n">
        <v>197</v>
      </c>
      <c r="J3" t="inlineStr">
        <is>
          <t>Y</t>
        </is>
      </c>
    </row>
    <row r="4" ht="28.95" customHeight="1" s="57">
      <c r="A4" s="45" t="n">
        <v>3</v>
      </c>
      <c r="B4" s="46" t="inlineStr">
        <is>
          <t>Fixed Deposit Exception</t>
        </is>
      </c>
      <c r="C4" s="47" t="inlineStr">
        <is>
          <t>S:\FIXED_DEP_EXCEPTION_REPORT\</t>
        </is>
      </c>
      <c r="D4" s="48" t="inlineStr">
        <is>
          <t>Deposit_Main.txt</t>
        </is>
      </c>
      <c r="E4" s="49" t="inlineStr">
        <is>
          <t>Daily FD approval level monitoring
Schedule in task scheduler and it's automated "Fixed_Deposit_Except"</t>
        </is>
      </c>
      <c r="F4" s="50" t="n"/>
      <c r="G4" s="50" t="inlineStr">
        <is>
          <t>josh</t>
        </is>
      </c>
      <c r="H4" s="50" t="n"/>
      <c r="I4" s="51" t="n">
        <v>686</v>
      </c>
      <c r="J4" t="inlineStr">
        <is>
          <t>Y</t>
        </is>
      </c>
    </row>
    <row r="5" ht="28" customHeight="1" s="57">
      <c r="A5" s="52" t="n">
        <v>3</v>
      </c>
      <c r="B5" s="71" t="inlineStr">
        <is>
          <t>Fixed Deposit Exception</t>
        </is>
      </c>
      <c r="C5" s="69" t="inlineStr">
        <is>
          <t>S:\FIXED_DEP_EXCEPTION_REPORT\</t>
        </is>
      </c>
      <c r="D5" s="55" t="inlineStr">
        <is>
          <t>libname.txt</t>
        </is>
      </c>
      <c r="E5" s="70" t="inlineStr">
        <is>
          <t>Daily FD approval level monitoring
Schedule in task scheduler and it's automated "Fixed_Deposit_Except"</t>
        </is>
      </c>
      <c r="G5" t="inlineStr">
        <is>
          <t>josh</t>
        </is>
      </c>
      <c r="I5" s="58" t="n">
        <v>65</v>
      </c>
    </row>
    <row r="6" ht="28" customHeight="1" s="57">
      <c r="A6" s="52" t="n">
        <v>3</v>
      </c>
      <c r="B6" s="71" t="inlineStr">
        <is>
          <t>Fixed Deposit Exception</t>
        </is>
      </c>
      <c r="C6" s="69" t="inlineStr">
        <is>
          <t>S:\FIXED_DEP_EXCEPTION_REPORT\</t>
        </is>
      </c>
      <c r="D6" s="74" t="inlineStr">
        <is>
          <t>Read_In_IW_Data.txt</t>
        </is>
      </c>
      <c r="E6" s="70" t="inlineStr">
        <is>
          <t>Daily FD approval level monitoring
Schedule in task scheduler and it's automated "Fixed_Deposit_Except"</t>
        </is>
      </c>
      <c r="G6" t="inlineStr">
        <is>
          <t>josh</t>
        </is>
      </c>
      <c r="I6" s="58" t="n">
        <v>84</v>
      </c>
    </row>
    <row r="7" ht="28" customHeight="1" s="57">
      <c r="A7" s="52" t="n">
        <v>3</v>
      </c>
      <c r="B7" s="71" t="inlineStr">
        <is>
          <t>Fixed Deposit Exception</t>
        </is>
      </c>
      <c r="C7" s="69" t="inlineStr">
        <is>
          <t>S:\FIXED_DEP_EXCEPTION_REPORT\</t>
        </is>
      </c>
      <c r="D7" s="60" t="inlineStr">
        <is>
          <t>Read_In_IW_Data3.txt</t>
        </is>
      </c>
      <c r="E7" s="70" t="inlineStr">
        <is>
          <t>Daily FD approval level monitoring
Schedule in task scheduler and it's automated "Fixed_Deposit_Except"</t>
        </is>
      </c>
      <c r="G7" t="inlineStr">
        <is>
          <t>josh</t>
        </is>
      </c>
      <c r="I7" s="58" t="n">
        <v>109</v>
      </c>
    </row>
    <row r="8" ht="28" customHeight="1" s="57">
      <c r="A8" s="52" t="n">
        <v>3</v>
      </c>
      <c r="B8" s="71" t="inlineStr">
        <is>
          <t>Fixed Deposit Exception</t>
        </is>
      </c>
      <c r="C8" s="69" t="inlineStr">
        <is>
          <t>S:\FIXED_DEP_EXCEPTION_REPORT\</t>
        </is>
      </c>
      <c r="D8" s="60" t="inlineStr">
        <is>
          <t>Generate_Max_Rate2.txt</t>
        </is>
      </c>
      <c r="E8" s="70" t="inlineStr">
        <is>
          <t>Daily FD approval level monitoring
Schedule in task scheduler and it's automated "Fixed_Deposit_Except"</t>
        </is>
      </c>
      <c r="G8" t="inlineStr">
        <is>
          <t>josh</t>
        </is>
      </c>
      <c r="I8" s="58" t="n">
        <v>36</v>
      </c>
    </row>
    <row r="9" ht="28" customHeight="1" s="57">
      <c r="A9" s="52" t="n">
        <v>3</v>
      </c>
      <c r="B9" s="71" t="inlineStr">
        <is>
          <t>Fixed Deposit Exception</t>
        </is>
      </c>
      <c r="C9" s="69" t="inlineStr">
        <is>
          <t>S:\FIXED_DEP_EXCEPTION_REPORT\</t>
        </is>
      </c>
      <c r="D9" s="60" t="inlineStr">
        <is>
          <t>Generate_Exception_Data.txt</t>
        </is>
      </c>
      <c r="E9" s="70" t="inlineStr">
        <is>
          <t>Daily FD approval level monitoring
Schedule in task scheduler and it's automated "Fixed_Deposit_Except"</t>
        </is>
      </c>
      <c r="G9" t="inlineStr">
        <is>
          <t>josh</t>
        </is>
      </c>
      <c r="I9" s="58" t="n">
        <v>247</v>
      </c>
    </row>
    <row r="10" ht="28" customHeight="1" s="57">
      <c r="A10" s="52" t="n">
        <v>3</v>
      </c>
      <c r="B10" s="71" t="inlineStr">
        <is>
          <t>Fixed Deposit Exception</t>
        </is>
      </c>
      <c r="C10" s="69" t="inlineStr">
        <is>
          <t>S:\FIXED_DEP_EXCEPTION_REPORT\</t>
        </is>
      </c>
      <c r="D10" s="60" t="inlineStr">
        <is>
          <t>Generate_Exception2_Data.txt</t>
        </is>
      </c>
      <c r="E10" s="70" t="inlineStr">
        <is>
          <t>Daily FD approval level monitoring
Schedule in task scheduler and it's automated "Fixed_Deposit_Except"</t>
        </is>
      </c>
      <c r="G10" t="inlineStr">
        <is>
          <t>josh</t>
        </is>
      </c>
      <c r="I10" s="58" t="n">
        <v>79</v>
      </c>
    </row>
    <row r="11" ht="28" customHeight="1" s="57">
      <c r="A11" s="52" t="n">
        <v>3</v>
      </c>
      <c r="B11" s="71" t="inlineStr">
        <is>
          <t>Fixed Deposit Exception</t>
        </is>
      </c>
      <c r="C11" s="69" t="inlineStr">
        <is>
          <t>S:\FIXED_DEP_EXCEPTION_REPORT\</t>
        </is>
      </c>
      <c r="D11" s="60" t="inlineStr">
        <is>
          <t>Generate_Exception3_Data.txt</t>
        </is>
      </c>
      <c r="E11" s="70" t="inlineStr">
        <is>
          <t>Daily FD approval level monitoring
Schedule in task scheduler and it's automated "Fixed_Deposit_Except"</t>
        </is>
      </c>
      <c r="G11" t="inlineStr">
        <is>
          <t>josh</t>
        </is>
      </c>
      <c r="I11" s="58" t="n">
        <v>77</v>
      </c>
    </row>
    <row r="12" ht="28" customHeight="1" s="57">
      <c r="A12" s="52" t="n">
        <v>3</v>
      </c>
      <c r="B12" s="71" t="inlineStr">
        <is>
          <t>Fixed Deposit Exception</t>
        </is>
      </c>
      <c r="C12" s="69" t="inlineStr">
        <is>
          <t>S:\FIXED_DEP_EXCEPTION_REPORT\</t>
        </is>
      </c>
      <c r="D12" s="60" t="inlineStr">
        <is>
          <t>Generate_Exception383_Data.txt</t>
        </is>
      </c>
      <c r="E12" s="70" t="inlineStr">
        <is>
          <t>Daily FD approval level monitoring
Schedule in task scheduler and it's automated "Fixed_Deposit_Except"</t>
        </is>
      </c>
      <c r="G12" t="inlineStr">
        <is>
          <t>josh</t>
        </is>
      </c>
      <c r="I12" s="58" t="n">
        <v>274</v>
      </c>
    </row>
    <row r="13" ht="28" customHeight="1" s="57">
      <c r="A13" s="52" t="n">
        <v>3</v>
      </c>
      <c r="B13" s="71" t="inlineStr">
        <is>
          <t>Fixed Deposit Exception</t>
        </is>
      </c>
      <c r="C13" s="69" t="inlineStr">
        <is>
          <t>S:\FIXED_DEP_EXCEPTION_REPORT\</t>
        </is>
      </c>
      <c r="D13" s="60" t="inlineStr">
        <is>
          <t>Generate_Exception390_Data.txt</t>
        </is>
      </c>
      <c r="E13" s="70" t="inlineStr">
        <is>
          <t>Daily FD approval level monitoring
Schedule in task scheduler and it's automated "Fixed_Deposit_Except"</t>
        </is>
      </c>
      <c r="G13" t="inlineStr">
        <is>
          <t>josh</t>
        </is>
      </c>
      <c r="I13" s="58" t="n">
        <v>274</v>
      </c>
    </row>
    <row r="14" ht="28" customHeight="1" s="57">
      <c r="A14" s="52" t="n">
        <v>3</v>
      </c>
      <c r="B14" s="71" t="inlineStr">
        <is>
          <t>Fixed Deposit Exception</t>
        </is>
      </c>
      <c r="C14" s="69" t="inlineStr">
        <is>
          <t>S:\FIXED_DEP_EXCEPTION_REPORT\</t>
        </is>
      </c>
      <c r="D14" s="60" t="inlineStr">
        <is>
          <t>Export_Data_To_Excel.txt</t>
        </is>
      </c>
      <c r="E14" s="70" t="inlineStr">
        <is>
          <t>Daily FD approval level monitoring
Schedule in task scheduler and it's automated "Fixed_Deposit_Except"</t>
        </is>
      </c>
      <c r="G14" t="inlineStr">
        <is>
          <t>josh</t>
        </is>
      </c>
      <c r="I14" s="58" t="n">
        <v>194</v>
      </c>
    </row>
    <row r="15" ht="28" customHeight="1" s="57">
      <c r="A15" s="52" t="n">
        <v>3</v>
      </c>
      <c r="B15" s="71" t="inlineStr">
        <is>
          <t>Fixed Deposit Exception</t>
        </is>
      </c>
      <c r="C15" s="69" t="inlineStr">
        <is>
          <t>S:\FIXED_DEP_EXCEPTION_REPORT\</t>
        </is>
      </c>
      <c r="D15" s="60" t="inlineStr">
        <is>
          <t>Calculate_Total_Deposit.txt</t>
        </is>
      </c>
      <c r="E15" s="70" t="inlineStr">
        <is>
          <t>Daily FD approval level monitoring
Schedule in task scheduler and it's automated "Fixed_Deposit_Except"</t>
        </is>
      </c>
      <c r="G15" t="inlineStr">
        <is>
          <t>josh</t>
        </is>
      </c>
      <c r="I15" s="58" t="n">
        <v>99</v>
      </c>
    </row>
    <row r="16" ht="28" customHeight="1" s="57">
      <c r="A16" s="52" t="n">
        <v>3</v>
      </c>
      <c r="B16" s="71" t="inlineStr">
        <is>
          <t>Fixed Deposit Exception</t>
        </is>
      </c>
      <c r="C16" s="69" t="inlineStr">
        <is>
          <t>S:\FIXED_DEP_EXCEPTION_REPORT\</t>
        </is>
      </c>
      <c r="D16" s="60" t="inlineStr">
        <is>
          <t>Read_In_IW_Fixed_Dep_Full_Month.txt</t>
        </is>
      </c>
      <c r="E16" s="70" t="inlineStr">
        <is>
          <t>Daily FD approval level monitoring
Schedule in task scheduler and it's automated "Fixed_Deposit_Except"</t>
        </is>
      </c>
      <c r="G16" t="inlineStr">
        <is>
          <t>josh</t>
        </is>
      </c>
      <c r="I16" s="58" t="n">
        <v>63</v>
      </c>
    </row>
    <row r="17" ht="28" customHeight="1" s="57">
      <c r="A17" s="52" t="n">
        <v>3</v>
      </c>
      <c r="B17" s="71" t="inlineStr">
        <is>
          <t>Fixed Deposit Exception</t>
        </is>
      </c>
      <c r="C17" s="69" t="inlineStr">
        <is>
          <t>S:\FIXED_DEP_EXCEPTION_REPORT\</t>
        </is>
      </c>
      <c r="D17" s="74" t="inlineStr">
        <is>
          <t>Read_in_IW_Savings_Dep.txt</t>
        </is>
      </c>
      <c r="E17" s="70" t="inlineStr">
        <is>
          <t>Daily FD approval level monitoring
Schedule in task scheduler and it's automated "Fixed_Deposit_Except"</t>
        </is>
      </c>
      <c r="G17" t="inlineStr">
        <is>
          <t>josh</t>
        </is>
      </c>
      <c r="I17" s="58" t="n">
        <v>105</v>
      </c>
    </row>
    <row r="18" ht="28" customHeight="1" s="57">
      <c r="A18" s="52" t="n">
        <v>3</v>
      </c>
      <c r="B18" s="71" t="inlineStr">
        <is>
          <t>Fixed Deposit Exception</t>
        </is>
      </c>
      <c r="C18" s="69" t="inlineStr">
        <is>
          <t>S:\FIXED_DEP_EXCEPTION_REPORT\</t>
        </is>
      </c>
      <c r="D18" s="74" t="inlineStr">
        <is>
          <t>Read_In_IW_Sav_Margin.txt</t>
        </is>
      </c>
      <c r="E18" s="70" t="inlineStr">
        <is>
          <t>Daily FD approval level monitoring
Schedule in task scheduler and it's automated "Fixed_Deposit_Except"</t>
        </is>
      </c>
      <c r="G18" t="inlineStr">
        <is>
          <t>josh</t>
        </is>
      </c>
      <c r="I18" s="58" t="n">
        <v>78</v>
      </c>
    </row>
    <row r="19" ht="28" customHeight="1" s="57">
      <c r="A19" s="52" t="n">
        <v>3</v>
      </c>
      <c r="B19" s="71" t="inlineStr">
        <is>
          <t>Fixed Deposit Exception</t>
        </is>
      </c>
      <c r="C19" s="69" t="inlineStr">
        <is>
          <t>S:\FIXED_DEP_EXCEPTION_REPORT\</t>
        </is>
      </c>
      <c r="D19" s="74" t="inlineStr">
        <is>
          <t>Read_In_IW_Sav_Builder.txt</t>
        </is>
      </c>
      <c r="E19" s="70" t="inlineStr">
        <is>
          <t>Daily FD approval level monitoring
Schedule in task scheduler and it's automated "Fixed_Deposit_Except"</t>
        </is>
      </c>
      <c r="G19" t="inlineStr">
        <is>
          <t>josh</t>
        </is>
      </c>
      <c r="I19" s="58" t="n">
        <v>78</v>
      </c>
    </row>
    <row r="20" ht="28" customHeight="1" s="57">
      <c r="A20" s="52" t="n">
        <v>3</v>
      </c>
      <c r="B20" s="71" t="inlineStr">
        <is>
          <t>Fixed Deposit Exception</t>
        </is>
      </c>
      <c r="C20" s="69" t="inlineStr">
        <is>
          <t>S:\FIXED_DEP_EXCEPTION_REPORT\</t>
        </is>
      </c>
      <c r="D20" s="74" t="inlineStr">
        <is>
          <t>Read_In_IW_Fixed_Dep_OS.txt</t>
        </is>
      </c>
      <c r="E20" s="70" t="inlineStr">
        <is>
          <t>Daily FD approval level monitoring
Schedule in task scheduler and it's automated "Fixed_Deposit_Except"</t>
        </is>
      </c>
      <c r="G20" t="inlineStr">
        <is>
          <t>josh</t>
        </is>
      </c>
      <c r="I20" s="58" t="n">
        <v>78</v>
      </c>
    </row>
    <row r="21" ht="28" customHeight="1" s="57">
      <c r="A21" s="52" t="n">
        <v>3</v>
      </c>
      <c r="B21" s="71" t="inlineStr">
        <is>
          <t>Fixed Deposit Exception</t>
        </is>
      </c>
      <c r="C21" s="69" t="inlineStr">
        <is>
          <t>S:\FIXED_DEP_EXCEPTION_REPORT\</t>
        </is>
      </c>
      <c r="D21" s="74" t="inlineStr">
        <is>
          <t>Read_In_IW_Fixed_Dep.txt</t>
        </is>
      </c>
      <c r="E21" s="70" t="inlineStr">
        <is>
          <t>Daily FD approval level monitoring
Schedule in task scheduler and it's automated "Fixed_Deposit_Except"</t>
        </is>
      </c>
      <c r="G21" t="inlineStr">
        <is>
          <t>josh</t>
        </is>
      </c>
      <c r="I21" s="58" t="n">
        <v>110</v>
      </c>
    </row>
    <row r="22" ht="28" customHeight="1" s="57">
      <c r="A22" s="52" t="n">
        <v>3</v>
      </c>
      <c r="B22" s="71" t="inlineStr">
        <is>
          <t>Fixed Deposit Exception</t>
        </is>
      </c>
      <c r="C22" s="69" t="inlineStr">
        <is>
          <t>S:\FIXED_DEP_EXCEPTION_REPORT\</t>
        </is>
      </c>
      <c r="D22" s="74" t="inlineStr">
        <is>
          <t>Read_In_IW_Current_Dep.txt</t>
        </is>
      </c>
      <c r="E22" s="70" t="inlineStr">
        <is>
          <t>Daily FD approval level monitoring
Schedule in task scheduler and it's automated "Fixed_Deposit_Except"</t>
        </is>
      </c>
      <c r="G22" t="inlineStr">
        <is>
          <t>josh</t>
        </is>
      </c>
      <c r="I22" s="58" t="n">
        <v>113</v>
      </c>
    </row>
    <row r="23" ht="28" customHeight="1" s="57">
      <c r="A23" s="52" t="n">
        <v>3</v>
      </c>
      <c r="B23" s="71" t="inlineStr">
        <is>
          <t>Fixed Deposit Exception</t>
        </is>
      </c>
      <c r="C23" s="69" t="inlineStr">
        <is>
          <t>S:\FIXED_DEP_EXCEPTION_REPORT\</t>
        </is>
      </c>
      <c r="D23" s="74" t="inlineStr">
        <is>
          <t>Read_In_IW_Loans_ALS.txt</t>
        </is>
      </c>
      <c r="E23" s="70" t="inlineStr">
        <is>
          <t>Daily FD approval level monitoring
Schedule in task scheduler and it's automated "Fixed_Deposit_Except"</t>
        </is>
      </c>
      <c r="G23" t="inlineStr">
        <is>
          <t>josh</t>
        </is>
      </c>
      <c r="I23" s="58" t="n">
        <v>75</v>
      </c>
    </row>
    <row r="24" ht="28" customHeight="1" s="57">
      <c r="A24" s="52" t="n">
        <v>3</v>
      </c>
      <c r="B24" s="71" t="inlineStr">
        <is>
          <t>Fixed Deposit Exception</t>
        </is>
      </c>
      <c r="C24" s="69" t="inlineStr">
        <is>
          <t>S:\FIXED_DEP_EXCEPTION_REPORT\</t>
        </is>
      </c>
      <c r="D24" s="61" t="inlineStr">
        <is>
          <t>Generate_Exception_Statistics22.txt</t>
        </is>
      </c>
      <c r="E24" s="70" t="inlineStr">
        <is>
          <t>Daily FD approval level monitoring
Schedule in task scheduler and it's automated "Fixed_Deposit_Except"</t>
        </is>
      </c>
      <c r="G24" t="inlineStr">
        <is>
          <t>josh</t>
        </is>
      </c>
      <c r="I24" s="58" t="n">
        <v>2786</v>
      </c>
    </row>
    <row r="25" ht="28" customHeight="1" s="57">
      <c r="A25" s="52" t="n">
        <v>3</v>
      </c>
      <c r="B25" s="71" t="inlineStr">
        <is>
          <t>Fixed Deposit Exception</t>
        </is>
      </c>
      <c r="C25" s="69" t="inlineStr">
        <is>
          <t>S:\FIXED_DEP_EXCEPTION_REPORT\</t>
        </is>
      </c>
      <c r="D25" s="55" t="inlineStr">
        <is>
          <t>Generate_Exception_Peter10.txt</t>
        </is>
      </c>
      <c r="E25" s="70" t="inlineStr">
        <is>
          <t>Daily FD approval level monitoring
Schedule in task scheduler and it's automated "Fixed_Deposit_Except"</t>
        </is>
      </c>
      <c r="G25" t="inlineStr">
        <is>
          <t>josh</t>
        </is>
      </c>
      <c r="I25" s="58" t="n">
        <v>1241</v>
      </c>
    </row>
    <row r="26" ht="28" customHeight="1" s="57">
      <c r="A26" s="62" t="n">
        <v>3</v>
      </c>
      <c r="B26" s="63" t="inlineStr">
        <is>
          <t>Fixed Deposit Exception</t>
        </is>
      </c>
      <c r="C26" s="64" t="inlineStr">
        <is>
          <t>S:\FIXED_DEP_EXCEPTION_REPORT\</t>
        </is>
      </c>
      <c r="D26" s="65" t="inlineStr">
        <is>
          <t>Generate_Exception_Deposit_Dep10.txt</t>
        </is>
      </c>
      <c r="E26" s="66" t="inlineStr">
        <is>
          <t>Daily FD approval level monitoring
Schedule in task scheduler and it's automated "Fixed_Deposit_Except"</t>
        </is>
      </c>
      <c r="F26" s="67" t="n"/>
      <c r="G26" s="67" t="inlineStr">
        <is>
          <t>josh</t>
        </is>
      </c>
      <c r="H26" s="67" t="n"/>
      <c r="I26" s="68" t="n">
        <v>1091</v>
      </c>
    </row>
    <row r="27" ht="28" customHeight="1" s="57">
      <c r="A27" s="69" t="n">
        <v>4</v>
      </c>
      <c r="B27" s="69" t="inlineStr">
        <is>
          <t>Daily Fee Income</t>
        </is>
      </c>
      <c r="C27" s="69" t="inlineStr">
        <is>
          <t>S:\Fee_Income_Report\</t>
        </is>
      </c>
      <c r="D27" s="41" t="inlineStr">
        <is>
          <t>Main.txt</t>
        </is>
      </c>
      <c r="E27" s="70" t="inlineStr">
        <is>
          <t>Daily Fee Income Report
Schedule in task scheduler and it's automated "Fee_Income"</t>
        </is>
      </c>
      <c r="G27" t="inlineStr">
        <is>
          <t>josh</t>
        </is>
      </c>
      <c r="I27" s="44" t="n">
        <v>86</v>
      </c>
      <c r="J27" t="inlineStr">
        <is>
          <t>Y</t>
        </is>
      </c>
    </row>
    <row r="28" ht="28" customHeight="1" s="57">
      <c r="A28" s="69" t="n">
        <v>4</v>
      </c>
      <c r="B28" s="69" t="inlineStr">
        <is>
          <t>Daily Fee Income</t>
        </is>
      </c>
      <c r="C28" s="69" t="inlineStr">
        <is>
          <t>S:\Fee_Income_Report\</t>
        </is>
      </c>
      <c r="D28" s="55" t="inlineStr">
        <is>
          <t>Generate_Fee_Income_Report.txt</t>
        </is>
      </c>
      <c r="E28" s="70" t="inlineStr">
        <is>
          <t>Daily Fee Income Report
Schedule in task scheduler and it's automated "Fee_Income"</t>
        </is>
      </c>
      <c r="G28" t="inlineStr">
        <is>
          <t>josh</t>
        </is>
      </c>
      <c r="I28" s="44" t="n">
        <v>937</v>
      </c>
    </row>
    <row r="29" ht="28" customHeight="1" s="57">
      <c r="A29" s="69" t="n">
        <v>4</v>
      </c>
      <c r="B29" s="69" t="inlineStr">
        <is>
          <t>Daily Fee Income</t>
        </is>
      </c>
      <c r="C29" s="69" t="inlineStr">
        <is>
          <t>S:\Fee_Income_Report\</t>
        </is>
      </c>
      <c r="D29" s="55" t="inlineStr">
        <is>
          <t>Genenerate_Fee_Amort_File.txt</t>
        </is>
      </c>
      <c r="E29" s="70" t="inlineStr">
        <is>
          <t>Daily Fee Income Report
Schedule in task scheduler and it's automated "Fee_Income"</t>
        </is>
      </c>
      <c r="G29" t="inlineStr">
        <is>
          <t>josh</t>
        </is>
      </c>
      <c r="I29" s="44" t="n">
        <v>284</v>
      </c>
    </row>
    <row r="30" ht="28" customHeight="1" s="57">
      <c r="A30" s="69" t="n">
        <v>4</v>
      </c>
      <c r="B30" s="69" t="inlineStr">
        <is>
          <t>Daily Fee Income</t>
        </is>
      </c>
      <c r="C30" s="69" t="inlineStr">
        <is>
          <t>S:\Fee_Income_Report\</t>
        </is>
      </c>
      <c r="D30" s="55" t="inlineStr">
        <is>
          <t>Generate_Report.txt</t>
        </is>
      </c>
      <c r="E30" s="70" t="inlineStr">
        <is>
          <t>Daily Fee Income Report
Schedule in task scheduler and it's automated "Fee_Income"</t>
        </is>
      </c>
      <c r="G30" t="inlineStr">
        <is>
          <t>josh</t>
        </is>
      </c>
      <c r="I30" s="44" t="n">
        <v>338</v>
      </c>
    </row>
    <row r="31" ht="287.4" customHeight="1" s="57">
      <c r="A31" s="69" t="n">
        <v>5</v>
      </c>
      <c r="B31" s="69" t="inlineStr">
        <is>
          <t>Daily Batch</t>
        </is>
      </c>
      <c r="C31" s="55" t="inlineStr">
        <is>
          <t>S:\Revenue by RM\Report\Analysis\</t>
        </is>
      </c>
      <c r="D31" s="55" t="inlineStr">
        <is>
          <t>No_of_Customers_Daily.txt</t>
        </is>
      </c>
      <c r="E31" s="70" t="inlineStr">
        <is>
          <t>Schedule in task scheduler and it's automated "Daily_Loan_Deposit"
It generates the list of daily No. of Customers</t>
        </is>
      </c>
      <c r="G31" t="inlineStr">
        <is>
          <t>josh</t>
        </is>
      </c>
      <c r="H31" s="25" t="inlineStr">
        <is>
          <t>IMH tables: 
VI_IADPG_AC_PFT_CBG_CDAY
VI_IADAM_LOANS_HIST_CDAY
VI_IADAM_LOANS_2_CDAY
VI_IADKR_FAC_LINE_CDAY
VI_IADST_DEP_CORE_HIST_CDAY
VI_IADIM_DEP_CORE_HIST_CDAY
VI_IADST_DEP_TIME_HIST_CDAY
VI_IADBL_TRAN_CDAY
VI_IADBL_LIMIT_CBG_CDAY
VI_IADIM_OD_LINE_HIST_CDAY
VI_IADNX_RATES_HIST_CDAY
VI_IADSB_ISFEHT_CBG_CDAY
VI_IADFC_CASA_INT_CDAY
VI_IADAM_AMORT_FEES_CDAY
VI_IADAM_LOAN_GDR_CDAY
VI_IADB3_DTL_OUTFLOW_CBG
VI_IADRM_CUSTOMER_NOID_CBG
VI_IADRM_CUSTACCT_CBG
VI_IACPF_PROD_LVL
VI_IACKR_CLS_CD_CTL
VI_IADSD_TRAN_PORT
VI_IADSD_INFO
VI_IADWN_CUSTACCT_NOID
VI_IADAV_MACC_POS
VI_IADAV_CLS_POS
VI_IADAV_SD_POS
VI_IADOF_AC_FTP_CBG
VI_IADTR_AC_TP_CBG_MTD
VI_IADST_TIME_TRAN</t>
        </is>
      </c>
      <c r="I31" s="44" t="n">
        <v>1824</v>
      </c>
      <c r="J31" t="inlineStr">
        <is>
          <t>Y</t>
        </is>
      </c>
    </row>
    <row r="32" ht="28" customHeight="1" s="57">
      <c r="A32" s="69" t="n">
        <v>5</v>
      </c>
      <c r="B32" s="69" t="inlineStr">
        <is>
          <t>Daily Batch</t>
        </is>
      </c>
      <c r="C32" s="55" t="inlineStr">
        <is>
          <t>S:\Revenue by RM\Report\Analysis\</t>
        </is>
      </c>
      <c r="D32" s="55" t="inlineStr">
        <is>
          <t>Loan_Drawdown_MC2.txt</t>
        </is>
      </c>
      <c r="E32" s="70" t="inlineStr">
        <is>
          <t>Schedule in task scheduler and it's automated "Daily_Loan_Deposit"
It generates the list of daily No. of Customers</t>
        </is>
      </c>
      <c r="G32" t="inlineStr">
        <is>
          <t>josh</t>
        </is>
      </c>
      <c r="I32" s="44" t="n">
        <v>126</v>
      </c>
      <c r="J32" t="inlineStr">
        <is>
          <t>Y</t>
        </is>
      </c>
    </row>
    <row r="33" ht="28" customHeight="1" s="57">
      <c r="A33" s="69" t="n">
        <v>5</v>
      </c>
      <c r="B33" s="69" t="inlineStr">
        <is>
          <t>Daily Batch</t>
        </is>
      </c>
      <c r="C33" s="55" t="inlineStr">
        <is>
          <t>S:\Revenue by RM\Report\Analysis\</t>
        </is>
      </c>
      <c r="D33" s="55" t="inlineStr">
        <is>
          <t>Loan_Drawdown_US.txt</t>
        </is>
      </c>
      <c r="E33" s="70" t="inlineStr">
        <is>
          <t>Schedule in task scheduler and it's automated "Daily_Loan_Deposit"
It generates the list of daily No. of Customers</t>
        </is>
      </c>
      <c r="G33" t="inlineStr">
        <is>
          <t>josh</t>
        </is>
      </c>
      <c r="I33" s="44" t="n">
        <v>147</v>
      </c>
      <c r="J33" t="inlineStr">
        <is>
          <t>Y</t>
        </is>
      </c>
    </row>
    <row r="34">
      <c r="A34" s="69" t="n">
        <v>5</v>
      </c>
      <c r="B34" s="69" t="inlineStr">
        <is>
          <t>Daily Batch</t>
        </is>
      </c>
      <c r="C34" s="55" t="inlineStr">
        <is>
          <t>S:\Revenue by RM\Report\Analysis\</t>
        </is>
      </c>
      <c r="D34" s="55" t="inlineStr">
        <is>
          <t>Daily_Customer_Info_SG2.txt</t>
        </is>
      </c>
      <c r="E34" s="41" t="inlineStr">
        <is>
          <t>Daily Customer Profile for SG</t>
        </is>
      </c>
      <c r="G34" t="inlineStr">
        <is>
          <t>josh</t>
        </is>
      </c>
      <c r="I34" s="44" t="n">
        <v>429</v>
      </c>
      <c r="J34" t="inlineStr">
        <is>
          <t>Y</t>
        </is>
      </c>
    </row>
    <row r="35">
      <c r="A35" s="69" t="n">
        <v>5</v>
      </c>
      <c r="B35" s="69" t="inlineStr">
        <is>
          <t>Daily Batch</t>
        </is>
      </c>
      <c r="C35" s="55" t="inlineStr">
        <is>
          <t>S:\Revenue by RM\Report\Analysis\Daily_Loan_Drawdown\Program\</t>
        </is>
      </c>
      <c r="D35" s="55" t="inlineStr">
        <is>
          <t>Daily_Loan_Drawdown14.txt</t>
        </is>
      </c>
      <c r="E35" s="41" t="inlineStr">
        <is>
          <t>Daily Loan Drawdown report (HK+OV)</t>
        </is>
      </c>
      <c r="G35" t="inlineStr">
        <is>
          <t>josh</t>
        </is>
      </c>
      <c r="I35" s="44" t="n">
        <v>3285</v>
      </c>
      <c r="J35" t="inlineStr">
        <is>
          <t>Y</t>
        </is>
      </c>
    </row>
    <row r="36">
      <c r="A36" s="69" t="n">
        <v>5</v>
      </c>
      <c r="B36" s="69" t="inlineStr">
        <is>
          <t>Daily Batch</t>
        </is>
      </c>
      <c r="C36" s="55" t="inlineStr">
        <is>
          <t>S:\Revenue by RM\Report\Analysis\Daily_New_LC_Refinance\Program\</t>
        </is>
      </c>
      <c r="D36" s="55" t="inlineStr">
        <is>
          <t>Daily_New_LC_Refinance.txt</t>
        </is>
      </c>
      <c r="E36" s="41" t="inlineStr">
        <is>
          <t>Daily New LC Refinance report</t>
        </is>
      </c>
      <c r="G36" t="inlineStr">
        <is>
          <t>josh</t>
        </is>
      </c>
      <c r="I36" s="44" t="n">
        <v>399</v>
      </c>
      <c r="J36" t="inlineStr">
        <is>
          <t>Y</t>
        </is>
      </c>
    </row>
    <row r="37">
      <c r="A37" s="69" t="n">
        <v>5</v>
      </c>
      <c r="B37" s="69" t="inlineStr">
        <is>
          <t>Daily Batch</t>
        </is>
      </c>
      <c r="C37" s="55" t="inlineStr">
        <is>
          <t>S:\Revenue by RM\Report\Analysis\</t>
        </is>
      </c>
      <c r="D37" s="55" t="inlineStr">
        <is>
          <t>Daily_Bill_Commission_and_Interest.txt</t>
        </is>
      </c>
      <c r="E37" s="41" t="inlineStr">
        <is>
          <t>Daily Bills Commission report</t>
        </is>
      </c>
      <c r="G37" t="inlineStr">
        <is>
          <t>josh</t>
        </is>
      </c>
      <c r="I37" s="44" t="n">
        <v>250</v>
      </c>
      <c r="J37" t="inlineStr">
        <is>
          <t>Y</t>
        </is>
      </c>
    </row>
    <row r="38">
      <c r="A38" s="69" t="n">
        <v>5</v>
      </c>
      <c r="B38" s="69" t="inlineStr">
        <is>
          <t>Daily Batch</t>
        </is>
      </c>
      <c r="C38" s="55" t="inlineStr">
        <is>
          <t>S:\Revenue by RM\Report\Analysis\</t>
        </is>
      </c>
      <c r="D38" s="55" t="inlineStr">
        <is>
          <t>Daily_NRvol_Loan_Repay2.txt</t>
        </is>
      </c>
      <c r="E38" s="41" t="inlineStr">
        <is>
          <t>MTD cumulative new non-revolving loan drawdown &amp; repayment</t>
        </is>
      </c>
      <c r="G38" t="inlineStr">
        <is>
          <t>josh</t>
        </is>
      </c>
      <c r="I38" s="44" t="n">
        <v>1810</v>
      </c>
      <c r="J38" t="inlineStr">
        <is>
          <t>Y</t>
        </is>
      </c>
    </row>
    <row r="39">
      <c r="A39" s="69" t="n">
        <v>5</v>
      </c>
      <c r="B39" s="69" t="inlineStr">
        <is>
          <t>Daily Batch</t>
        </is>
      </c>
      <c r="C39" s="55" t="inlineStr">
        <is>
          <t>S:\Revenue by RM\Report\Analysis\</t>
        </is>
      </c>
      <c r="D39" s="55" t="inlineStr">
        <is>
          <t>Daily_Loan_3_4_Pag4.txt</t>
        </is>
      </c>
      <c r="E39" s="41" t="inlineStr">
        <is>
          <t>Daily 3/4 party report for product cap monitoring purpose</t>
        </is>
      </c>
      <c r="G39" t="inlineStr">
        <is>
          <t>josh</t>
        </is>
      </c>
      <c r="I39" s="44" t="n">
        <v>392</v>
      </c>
      <c r="J39" t="inlineStr">
        <is>
          <t>Y</t>
        </is>
      </c>
    </row>
    <row r="40">
      <c r="A40" s="69" t="n">
        <v>5</v>
      </c>
      <c r="B40" s="69" t="inlineStr">
        <is>
          <t>Daily Batch</t>
        </is>
      </c>
      <c r="C40" s="55" t="inlineStr">
        <is>
          <t>S:\Revenue by RM\Report\Analysis\</t>
        </is>
      </c>
      <c r="D40" s="55" t="inlineStr">
        <is>
          <t>Ken_Risk_Score.txt</t>
        </is>
      </c>
      <c r="E40" s="41" t="inlineStr">
        <is>
          <t>Daily monitor the risk score change</t>
        </is>
      </c>
      <c r="G40" t="inlineStr">
        <is>
          <t>josh</t>
        </is>
      </c>
      <c r="I40" s="44" t="n">
        <v>108</v>
      </c>
      <c r="J40" t="inlineStr">
        <is>
          <t>Y</t>
        </is>
      </c>
    </row>
    <row r="41">
      <c r="A41" s="69" t="n">
        <v>5</v>
      </c>
      <c r="B41" s="69" t="inlineStr">
        <is>
          <t>Daily Batch</t>
        </is>
      </c>
      <c r="C41" s="55" t="inlineStr">
        <is>
          <t>S:\Revenue by RM\Report\Analysis\</t>
        </is>
      </c>
      <c r="D41" s="55" t="inlineStr">
        <is>
          <t>GCO_Monthly_Portfolio.txt</t>
        </is>
      </c>
      <c r="E41" s="41" t="inlineStr">
        <is>
          <t>Daily Portfolio report for MG="GCO"</t>
        </is>
      </c>
      <c r="G41" t="inlineStr">
        <is>
          <t>josh</t>
        </is>
      </c>
      <c r="I41" s="44" t="n">
        <v>278</v>
      </c>
      <c r="J41" t="inlineStr">
        <is>
          <t>Y</t>
        </is>
      </c>
    </row>
    <row r="42">
      <c r="A42" s="69" t="n">
        <v>5</v>
      </c>
      <c r="B42" s="69" t="inlineStr">
        <is>
          <t>Daily Batch</t>
        </is>
      </c>
      <c r="C42" s="55" t="inlineStr">
        <is>
          <t>S:\Revenue by RM\Report\Analysis\</t>
        </is>
      </c>
      <c r="D42" s="55" t="inlineStr">
        <is>
          <t>Daily_Repay.txt</t>
        </is>
      </c>
      <c r="E42" s="41" t="inlineStr">
        <is>
          <t>Daily Loan Repayment report</t>
        </is>
      </c>
      <c r="G42" t="inlineStr">
        <is>
          <t>josh</t>
        </is>
      </c>
      <c r="I42" s="44" t="n">
        <v>446</v>
      </c>
      <c r="J42" t="inlineStr">
        <is>
          <t>Y</t>
        </is>
      </c>
    </row>
    <row r="43">
      <c r="A43" s="69" t="n">
        <v>5</v>
      </c>
      <c r="B43" s="69" t="inlineStr">
        <is>
          <t>Daily Batch</t>
        </is>
      </c>
      <c r="C43" s="55" t="inlineStr">
        <is>
          <t>S:\Revenue by RM\Report\Analysis\</t>
        </is>
      </c>
      <c r="D43" s="55" t="inlineStr">
        <is>
          <t>Daily_RMB_Loan_Deposit2.txt</t>
        </is>
      </c>
      <c r="E43" s="41" t="inlineStr">
        <is>
          <t>Daily RMB Loan &amp; Deposit report</t>
        </is>
      </c>
      <c r="G43" t="inlineStr">
        <is>
          <t>josh</t>
        </is>
      </c>
      <c r="I43" s="44" t="n">
        <v>672</v>
      </c>
      <c r="J43" t="inlineStr">
        <is>
          <t>Y</t>
        </is>
      </c>
    </row>
    <row r="44">
      <c r="A44" s="69" t="n">
        <v>5</v>
      </c>
      <c r="B44" s="69" t="inlineStr">
        <is>
          <t>Daily Batch</t>
        </is>
      </c>
      <c r="C44" s="55" t="inlineStr">
        <is>
          <t>S:\Revenue by RM\Report\Analysis\</t>
        </is>
      </c>
      <c r="D44" s="55" t="inlineStr">
        <is>
          <t>Daily_Commission_FX.txt</t>
        </is>
      </c>
      <c r="E44" s="41" t="inlineStr">
        <is>
          <t>Daily Commission FX report</t>
        </is>
      </c>
      <c r="G44" t="inlineStr">
        <is>
          <t>josh</t>
        </is>
      </c>
      <c r="I44" s="44" t="n">
        <v>139</v>
      </c>
      <c r="J44" t="inlineStr">
        <is>
          <t>Y</t>
        </is>
      </c>
    </row>
    <row r="45">
      <c r="A45" s="69" t="n">
        <v>5</v>
      </c>
      <c r="B45" s="69" t="inlineStr">
        <is>
          <t>Daily Batch</t>
        </is>
      </c>
      <c r="C45" s="55" t="inlineStr">
        <is>
          <t>S:\Revenue by RM\Report\Analysis\</t>
        </is>
      </c>
      <c r="D45" s="55" t="inlineStr">
        <is>
          <t>Daily_CASA_Mon.txt</t>
        </is>
      </c>
      <c r="E45" s="41" t="inlineStr">
        <is>
          <t>Daily CASA monitoring (CNY HKD USD)</t>
        </is>
      </c>
      <c r="G45" t="inlineStr">
        <is>
          <t>josh</t>
        </is>
      </c>
      <c r="I45" s="44" t="n">
        <v>516</v>
      </c>
      <c r="J45" t="inlineStr">
        <is>
          <t>Y</t>
        </is>
      </c>
    </row>
    <row r="46">
      <c r="A46" s="69" t="n">
        <v>5</v>
      </c>
      <c r="B46" s="69" t="inlineStr">
        <is>
          <t>Daily Batch</t>
        </is>
      </c>
      <c r="C46" s="55" t="inlineStr">
        <is>
          <t>S:\Revenue by RM\Report\Analysis\</t>
        </is>
      </c>
      <c r="D46" s="55" t="inlineStr">
        <is>
          <t>Daily_Bills_Turnover2</t>
        </is>
      </c>
      <c r="E46" s="41" t="inlineStr">
        <is>
          <t>Daily Bills Turnover report</t>
        </is>
      </c>
      <c r="G46" t="inlineStr">
        <is>
          <t>josh</t>
        </is>
      </c>
      <c r="I46" s="44" t="n">
        <v>319</v>
      </c>
      <c r="J46" t="inlineStr">
        <is>
          <t>Y</t>
        </is>
      </c>
    </row>
    <row r="47">
      <c r="A47" s="69" t="n">
        <v>5</v>
      </c>
      <c r="B47" s="69" t="inlineStr">
        <is>
          <t>Daily Batch</t>
        </is>
      </c>
      <c r="C47" s="55" t="inlineStr">
        <is>
          <t>S:\Revenue by RM\Report\Analysis\</t>
        </is>
      </c>
      <c r="D47" s="55" t="inlineStr">
        <is>
          <t>Daily_Op_Deposit2.txt</t>
        </is>
      </c>
      <c r="E47" s="41" t="inlineStr">
        <is>
          <t>Daily Operational Deposit Report</t>
        </is>
      </c>
      <c r="G47" t="inlineStr">
        <is>
          <t>josh</t>
        </is>
      </c>
      <c r="I47" s="44" t="n">
        <v>193</v>
      </c>
      <c r="J47" t="inlineStr">
        <is>
          <t>Y</t>
        </is>
      </c>
    </row>
    <row r="48">
      <c r="A48" s="69" t="n">
        <v>5</v>
      </c>
      <c r="B48" s="69" t="inlineStr">
        <is>
          <t>Daily Batch</t>
        </is>
      </c>
      <c r="C48" s="55" t="inlineStr">
        <is>
          <t>S:\Revenue by RM\Report\Analysis\</t>
        </is>
      </c>
      <c r="D48" s="55" t="inlineStr">
        <is>
          <t>Set_Macro.txt</t>
        </is>
      </c>
      <c r="E48" s="41" t="inlineStr">
        <is>
          <t>Storing XX functions</t>
        </is>
      </c>
      <c r="G48" t="inlineStr">
        <is>
          <t>josh</t>
        </is>
      </c>
      <c r="I48" s="44" t="n">
        <v>3139</v>
      </c>
      <c r="J48" t="inlineStr">
        <is>
          <t>Y</t>
        </is>
      </c>
    </row>
    <row r="49" ht="28.95" customHeight="1" s="57">
      <c r="A49" s="69" t="n">
        <v>6</v>
      </c>
      <c r="B49" s="71" t="inlineStr">
        <is>
          <t>Daily Customer Profile HK</t>
        </is>
      </c>
      <c r="C49" s="69" t="inlineStr">
        <is>
          <t>S:\Revenue by RM\Report\Analysis\</t>
        </is>
      </c>
      <c r="D49" s="41" t="inlineStr">
        <is>
          <t>Daily_Customer_Info24.txt</t>
        </is>
      </c>
      <c r="E49" s="70" t="inlineStr">
        <is>
          <t>Daily Customer Profile for HK
Schedule in task scheduler and it's automated "Daily_customer_Profile"</t>
        </is>
      </c>
      <c r="G49" t="inlineStr">
        <is>
          <t>josh</t>
        </is>
      </c>
      <c r="I49" s="44" t="n">
        <v>4472</v>
      </c>
      <c r="J49" t="inlineStr">
        <is>
          <t>Y</t>
        </is>
      </c>
    </row>
    <row r="50" ht="28" customHeight="1" s="57">
      <c r="A50" s="69" t="n">
        <v>6</v>
      </c>
      <c r="B50" s="71" t="inlineStr">
        <is>
          <t>Daily Customer Profile HK</t>
        </is>
      </c>
      <c r="C50" s="69" t="inlineStr">
        <is>
          <t>S:\Revenue by RM\Report\Analysis\</t>
        </is>
      </c>
      <c r="D50" s="41" t="inlineStr">
        <is>
          <t>Daily_Issue_Bank.txt</t>
        </is>
      </c>
      <c r="E50" s="70" t="inlineStr">
        <is>
          <t>Daily Customer Profile for HK
Schedule in task scheduler and it's automated "Daily_customer_Profile"</t>
        </is>
      </c>
      <c r="G50" t="inlineStr">
        <is>
          <t>josh</t>
        </is>
      </c>
      <c r="I50" s="44" t="n">
        <v>189</v>
      </c>
      <c r="J50" t="inlineStr">
        <is>
          <t>Y</t>
        </is>
      </c>
    </row>
    <row r="51">
      <c r="A51" s="55" t="n">
        <v>7</v>
      </c>
      <c r="B51" s="55" t="inlineStr">
        <is>
          <t>Early Uplift Report</t>
        </is>
      </c>
      <c r="C51" s="55" t="inlineStr">
        <is>
          <t>S:\Revenue by RM\Report\Analysis\</t>
        </is>
      </c>
      <c r="D51" s="41" t="inlineStr">
        <is>
          <t>Daily_Early_Uplift.txt</t>
        </is>
      </c>
      <c r="E51" s="41" t="inlineStr">
        <is>
          <t>FD early uplift report</t>
        </is>
      </c>
      <c r="G51" t="inlineStr">
        <is>
          <t>josh</t>
        </is>
      </c>
      <c r="I51" s="44" t="n">
        <v>265</v>
      </c>
      <c r="J51" t="inlineStr">
        <is>
          <t>Y</t>
        </is>
      </c>
    </row>
    <row r="52" ht="28" customHeight="1" s="57">
      <c r="A52" s="55" t="n">
        <v>8</v>
      </c>
      <c r="B52" s="55" t="inlineStr">
        <is>
          <t>Dailiy New Loan Pricing</t>
        </is>
      </c>
      <c r="C52" s="55" t="inlineStr">
        <is>
          <t>S:\Revenue by RM\Report\Analysis\</t>
        </is>
      </c>
      <c r="D52" s="55" t="inlineStr">
        <is>
          <t>Daily_New_Loan_Pricing3.txt</t>
        </is>
      </c>
      <c r="E52" s="41" t="inlineStr">
        <is>
          <t>MTD cumulative new loan pricing (new drawdown/rollover)
Schedule in task scheduler and it's automated "Daily_Customer_Profile"</t>
        </is>
      </c>
      <c r="G52" t="inlineStr">
        <is>
          <t>josh</t>
        </is>
      </c>
      <c r="I52" s="44" t="n">
        <v>496</v>
      </c>
      <c r="J52" t="inlineStr">
        <is>
          <t>Y</t>
        </is>
      </c>
    </row>
    <row r="53" ht="42" customHeight="1" s="57">
      <c r="A53" s="55" t="n">
        <v>9</v>
      </c>
      <c r="B53" s="55" t="inlineStr">
        <is>
          <t>Check SIC change</t>
        </is>
      </c>
      <c r="C53" s="55" t="inlineStr">
        <is>
          <t>S:\Revenue by RM\Report\Analysis\</t>
        </is>
      </c>
      <c r="D53" s="55" t="inlineStr">
        <is>
          <t>Daily_Customer_SIC_EJM_Movement2.txt</t>
        </is>
      </c>
      <c r="E53" s="41" t="inlineStr">
        <is>
          <t>Monitor the SIC Code changes (CORP, NBFI, BANK)
Monitor the EJM Rate changes
Schedule in task scheduler and it's automated "Daily_Check_SIC"</t>
        </is>
      </c>
      <c r="G53" t="inlineStr">
        <is>
          <t>josh</t>
        </is>
      </c>
      <c r="I53" s="44" t="n">
        <v>210</v>
      </c>
      <c r="J53" t="inlineStr">
        <is>
          <t>Y</t>
        </is>
      </c>
    </row>
    <row r="54" ht="28" customHeight="1" s="57">
      <c r="A54" s="55" t="n">
        <v>10</v>
      </c>
      <c r="B54" s="40" t="inlineStr">
        <is>
          <t>Daily Exchange Rate</t>
        </is>
      </c>
      <c r="C54" s="55" t="inlineStr">
        <is>
          <t>S:\Currency Exchange</t>
        </is>
      </c>
      <c r="D54" s="55" t="inlineStr">
        <is>
          <t>cur_ex_main.txt</t>
        </is>
      </c>
      <c r="E54" s="41" t="inlineStr">
        <is>
          <t>Storing the IMH exchange rate history
Schedule in task scheduler and it's automated "Daily_Current_Exchange"</t>
        </is>
      </c>
      <c r="G54" t="inlineStr">
        <is>
          <t>josh</t>
        </is>
      </c>
      <c r="I54" s="44" t="n">
        <v>71</v>
      </c>
      <c r="J54" t="inlineStr">
        <is>
          <t>Y</t>
        </is>
      </c>
    </row>
    <row r="55" ht="28" customHeight="1" s="57">
      <c r="A55" s="55" t="n">
        <v>11</v>
      </c>
      <c r="B55" s="55" t="inlineStr">
        <is>
          <t>Daily Customer profile Fee</t>
        </is>
      </c>
      <c r="C55" s="55" t="inlineStr">
        <is>
          <t>S:\Revenue by RM\Report\Analysis\</t>
        </is>
      </c>
      <c r="D55" s="55" t="inlineStr">
        <is>
          <t>Customer_Profile_Fee.txt</t>
        </is>
      </c>
      <c r="E55" s="41" t="inlineStr">
        <is>
          <t>Daily Customer Profile Fee for HK
Schedule in task scheduler and it's automated "Daily_Customer_Fee"</t>
        </is>
      </c>
      <c r="G55" t="inlineStr">
        <is>
          <t>josh</t>
        </is>
      </c>
      <c r="I55" s="44" t="n">
        <v>770</v>
      </c>
      <c r="J55" t="inlineStr">
        <is>
          <t>Y</t>
        </is>
      </c>
    </row>
    <row r="56" ht="28.95" customHeight="1" s="57">
      <c r="A56" s="69" t="n">
        <v>12</v>
      </c>
      <c r="B56" s="72" t="inlineStr">
        <is>
          <t>Daily Deposit Movement</t>
        </is>
      </c>
      <c r="C56" s="69" t="inlineStr">
        <is>
          <t>S:\Daily_Deposit_Movement\</t>
        </is>
      </c>
      <c r="D56" s="41" t="inlineStr">
        <is>
          <t>Daily_deposit_Movement3.txt</t>
        </is>
      </c>
      <c r="E56" s="70" t="inlineStr">
        <is>
          <t>Daily movement by account, customer &amp; team (HK+OV)
Schedule in task scheduler and it's automated "Daily_Deposit_Movement"</t>
        </is>
      </c>
      <c r="G56" t="inlineStr">
        <is>
          <t>josh</t>
        </is>
      </c>
      <c r="I56" s="44" t="n">
        <v>322</v>
      </c>
      <c r="J56" t="inlineStr">
        <is>
          <t>Y</t>
        </is>
      </c>
    </row>
    <row r="57" ht="28" customHeight="1" s="57">
      <c r="A57" s="69" t="n">
        <v>12</v>
      </c>
      <c r="B57" s="72" t="inlineStr">
        <is>
          <t>Daily Deposit Movement</t>
        </is>
      </c>
      <c r="C57" s="69" t="inlineStr">
        <is>
          <t>S:\Daily_Deposit_Movement\</t>
        </is>
      </c>
      <c r="D57" s="41" t="inlineStr">
        <is>
          <t>Read_MBR_Deposit2.txt</t>
        </is>
      </c>
      <c r="E57" s="70" t="inlineStr">
        <is>
          <t>Daily movement by account, customer &amp; team (HK+OV)
Schedule in task scheduler and it's automated "Daily_Deposit_Movement"</t>
        </is>
      </c>
      <c r="G57" t="inlineStr">
        <is>
          <t>josh</t>
        </is>
      </c>
      <c r="I57" s="44" t="n">
        <v>134</v>
      </c>
      <c r="J57" t="inlineStr">
        <is>
          <t>Y</t>
        </is>
      </c>
    </row>
    <row r="58" ht="28" customHeight="1" s="57">
      <c r="A58" s="69" t="n">
        <v>12</v>
      </c>
      <c r="B58" s="72" t="inlineStr">
        <is>
          <t>Daily Deposit Movement</t>
        </is>
      </c>
      <c r="C58" s="69" t="inlineStr">
        <is>
          <t>S:\Daily_Deposit_Movement\</t>
        </is>
      </c>
      <c r="D58" s="41" t="inlineStr">
        <is>
          <t>Read_SG_Deposit.txt</t>
        </is>
      </c>
      <c r="E58" s="70" t="inlineStr">
        <is>
          <t>Daily movement by account, customer &amp; team (HK+OV)
Schedule in task scheduler and it's automated "Daily_Deposit_Movement"</t>
        </is>
      </c>
      <c r="G58" t="inlineStr">
        <is>
          <t>josh</t>
        </is>
      </c>
      <c r="I58" s="44" t="n">
        <v>239</v>
      </c>
      <c r="J58" t="inlineStr">
        <is>
          <t>Y</t>
        </is>
      </c>
    </row>
    <row r="59" ht="28" customHeight="1" s="57">
      <c r="A59" s="55" t="n">
        <v>13</v>
      </c>
      <c r="B59" s="39" t="inlineStr">
        <is>
          <t>Daily_OFSAA</t>
        </is>
      </c>
      <c r="C59" s="55" t="inlineStr">
        <is>
          <t>S:\Revenue by RM\Report\Analysis\</t>
        </is>
      </c>
      <c r="D59" s="55" t="inlineStr">
        <is>
          <t>Daily_OFSAA.txt</t>
        </is>
      </c>
      <c r="E59" s="41" t="inlineStr">
        <is>
          <t>Export the MTD OFSAA FTP information in Excel format
Schedule in task scheduler and it's automated "Daily_OFSAA"</t>
        </is>
      </c>
      <c r="G59" t="inlineStr">
        <is>
          <t>josh</t>
        </is>
      </c>
      <c r="I59" s="44" t="n">
        <v>134</v>
      </c>
      <c r="J59" t="inlineStr">
        <is>
          <t>Y</t>
        </is>
      </c>
    </row>
    <row r="60" ht="28" customHeight="1" s="57">
      <c r="A60" s="55" t="n">
        <v>14</v>
      </c>
      <c r="B60" s="39" t="inlineStr">
        <is>
          <t>Daily RM Mapping</t>
        </is>
      </c>
      <c r="C60" s="55" t="inlineStr">
        <is>
          <t>S:\Revenue by RM\Report\Analysis\</t>
        </is>
      </c>
      <c r="D60" s="55" t="inlineStr">
        <is>
          <t>Gen_RM_Mapping4.txt</t>
        </is>
      </c>
      <c r="E60" s="41" t="inlineStr">
        <is>
          <t>Read in the latest RM Mapping
Schedule in task scheduler and it's automated "Daily_RM_Mapping"</t>
        </is>
      </c>
      <c r="G60" t="inlineStr">
        <is>
          <t>josh</t>
        </is>
      </c>
      <c r="I60" s="44" t="n">
        <v>250</v>
      </c>
      <c r="J60" t="inlineStr">
        <is>
          <t>Y</t>
        </is>
      </c>
    </row>
    <row r="61">
      <c r="A61" s="55" t="n">
        <v>15</v>
      </c>
      <c r="B61" s="39" t="inlineStr">
        <is>
          <t>CASA Trend Report</t>
        </is>
      </c>
      <c r="C61" s="55" t="inlineStr">
        <is>
          <t>S:\Revenue by RM\Report\Analysis\</t>
        </is>
      </c>
      <c r="D61" s="55" t="inlineStr">
        <is>
          <t>Daily_CASA_Trend4.txt</t>
        </is>
      </c>
      <c r="E61" s="41" t="inlineStr">
        <is>
          <t>Weekly CASA Trend report</t>
        </is>
      </c>
      <c r="G61" t="inlineStr">
        <is>
          <t>josh</t>
        </is>
      </c>
      <c r="I61" s="44" t="n">
        <v>672</v>
      </c>
      <c r="J61" t="inlineStr">
        <is>
          <t>Y</t>
        </is>
      </c>
    </row>
    <row r="62">
      <c r="A62" s="55" t="n">
        <v>16</v>
      </c>
      <c r="B62" s="55" t="inlineStr">
        <is>
          <t>Oracle Connection</t>
        </is>
      </c>
      <c r="C62" s="55" t="inlineStr">
        <is>
          <t>p:\</t>
        </is>
      </c>
      <c r="D62" s="55" t="inlineStr">
        <is>
          <t>Libname.txt</t>
        </is>
      </c>
      <c r="E62" s="41" t="inlineStr">
        <is>
          <t>It stores the IMH connection information</t>
        </is>
      </c>
      <c r="G62" t="inlineStr">
        <is>
          <t>josh</t>
        </is>
      </c>
      <c r="I62" s="44" t="n">
        <v>65</v>
      </c>
      <c r="J62" t="inlineStr">
        <is>
          <t>Y</t>
        </is>
      </c>
    </row>
    <row r="63">
      <c r="A63" s="55">
        <f>A62+1</f>
        <v/>
      </c>
      <c r="B63" s="55" t="inlineStr">
        <is>
          <t>CRM Customer Group</t>
        </is>
      </c>
      <c r="C63" s="55" t="inlineStr">
        <is>
          <t>S:\Adhoc\Davin\ESPACE\Regular_Report\CRM</t>
        </is>
      </c>
      <c r="D63" s="55" t="inlineStr">
        <is>
          <t>a1.2_crm_customer_group.txt</t>
        </is>
      </c>
      <c r="E63" s="55" t="inlineStr">
        <is>
          <t>CRM Customer Group</t>
        </is>
      </c>
      <c r="G63" s="55" t="inlineStr">
        <is>
          <t>mary</t>
        </is>
      </c>
      <c r="I63" s="44" t="n">
        <v>143</v>
      </c>
      <c r="J63" s="55" t="inlineStr">
        <is>
          <t>Y</t>
        </is>
      </c>
    </row>
    <row r="64">
      <c r="A64" s="55">
        <f>A63+1</f>
        <v/>
      </c>
      <c r="B64" s="55" t="inlineStr">
        <is>
          <t>EWI Report</t>
        </is>
      </c>
      <c r="C64" s="55" t="inlineStr">
        <is>
          <t>S:\Adhoc\Davin\ESPACE\Regular_Report\EWI\Program</t>
        </is>
      </c>
      <c r="D64" s="55" t="inlineStr">
        <is>
          <t>$XX_EWI_Run.txt</t>
        </is>
      </c>
      <c r="E64" s="55" t="inlineStr">
        <is>
          <t>EWI Report</t>
        </is>
      </c>
      <c r="G64" s="55" t="inlineStr">
        <is>
          <t>mary</t>
        </is>
      </c>
      <c r="I64" s="44" t="n">
        <v>129</v>
      </c>
      <c r="J64" s="55" t="inlineStr">
        <is>
          <t>Y</t>
        </is>
      </c>
    </row>
    <row r="65">
      <c r="A65" s="55">
        <f>A64+1</f>
        <v/>
      </c>
      <c r="B65" s="55" t="inlineStr">
        <is>
          <t>Amort NII/Amort Fee</t>
        </is>
      </c>
      <c r="C65" s="55" t="inlineStr">
        <is>
          <t>S:\Adhoc\Davin\ESPACE\Regular_Report\OGL</t>
        </is>
      </c>
      <c r="D65" s="55" t="inlineStr">
        <is>
          <t>OGL_Remap_Daily.txt</t>
        </is>
      </c>
      <c r="E65" s="55" t="inlineStr">
        <is>
          <t>Amort NII/Amort Fee</t>
        </is>
      </c>
      <c r="G65" s="55" t="inlineStr">
        <is>
          <t>mary</t>
        </is>
      </c>
      <c r="I65" s="44" t="n">
        <v>212</v>
      </c>
      <c r="J65" s="55" t="inlineStr">
        <is>
          <t>Y</t>
        </is>
      </c>
    </row>
    <row r="66">
      <c r="A66" s="55">
        <f>A65+1</f>
        <v/>
      </c>
      <c r="B66" s="41" t="inlineStr">
        <is>
          <t>TB Premium CASA</t>
        </is>
      </c>
      <c r="C66" s="41" t="inlineStr">
        <is>
          <t>S:\Adhoc\Davin\ESPACE\Regular_Report\TB_Prem_CASA</t>
        </is>
      </c>
      <c r="D66" s="41" t="inlineStr">
        <is>
          <t>TB_CASA.txt</t>
        </is>
      </c>
      <c r="E66" s="41" t="inlineStr">
        <is>
          <t>TB Premium CASA</t>
        </is>
      </c>
      <c r="G66" s="55" t="inlineStr">
        <is>
          <t>mary</t>
        </is>
      </c>
      <c r="I66" s="44" t="n">
        <v>69</v>
      </c>
      <c r="J66" s="55" t="inlineStr">
        <is>
          <t>Y</t>
        </is>
      </c>
    </row>
    <row r="67">
      <c r="A67" s="55">
        <f>A66+1</f>
        <v/>
      </c>
      <c r="B67" s="55" t="inlineStr">
        <is>
          <t>eGroup</t>
        </is>
      </c>
      <c r="C67" s="55" t="inlineStr">
        <is>
          <t>S:\Adhoc\Davin\ESPACE\custgrp</t>
        </is>
      </c>
      <c r="D67" s="55" t="inlineStr">
        <is>
          <t>a1.2_active_customers.txt</t>
        </is>
      </c>
      <c r="E67" s="55" t="inlineStr">
        <is>
          <t>eGroup</t>
        </is>
      </c>
      <c r="G67" s="55" t="inlineStr">
        <is>
          <t>mary</t>
        </is>
      </c>
      <c r="I67" s="44" t="n">
        <v>608</v>
      </c>
      <c r="J67" s="55" t="inlineStr">
        <is>
          <t>Y</t>
        </is>
      </c>
    </row>
    <row r="68">
      <c r="A68" s="55">
        <f>A67+1</f>
        <v/>
      </c>
      <c r="B68" s="55" t="inlineStr">
        <is>
          <t>eGroup</t>
        </is>
      </c>
      <c r="C68" s="55" t="inlineStr">
        <is>
          <t>S:\Adhoc\Davin\ESPACE\custgrp</t>
        </is>
      </c>
      <c r="D68" s="55" t="inlineStr">
        <is>
          <t>a1.4_gen_exception_report.txt</t>
        </is>
      </c>
      <c r="E68" s="55" t="inlineStr">
        <is>
          <t>eGroup</t>
        </is>
      </c>
      <c r="G68" s="55" t="inlineStr">
        <is>
          <t>mary</t>
        </is>
      </c>
      <c r="I68" s="44" t="n">
        <v>248</v>
      </c>
      <c r="J68" s="55" t="inlineStr">
        <is>
          <t>Y</t>
        </is>
      </c>
    </row>
    <row r="69">
      <c r="A69" s="55">
        <f>A68+1</f>
        <v/>
      </c>
      <c r="B69" s="55" t="inlineStr">
        <is>
          <t>eGroup</t>
        </is>
      </c>
      <c r="C69" s="55" t="inlineStr">
        <is>
          <t>S:\Adhoc\Davin\ESPACE\custgrp</t>
        </is>
      </c>
      <c r="D69" s="55" t="inlineStr">
        <is>
          <t>a1.5_gen_cust_movement.txt</t>
        </is>
      </c>
      <c r="E69" s="55" t="inlineStr">
        <is>
          <t>eGroup</t>
        </is>
      </c>
      <c r="G69" s="55" t="inlineStr">
        <is>
          <t>mary</t>
        </is>
      </c>
      <c r="I69" s="44" t="n">
        <v>168</v>
      </c>
      <c r="J69" s="55" t="inlineStr">
        <is>
          <t>Y</t>
        </is>
      </c>
    </row>
    <row r="70">
      <c r="A70" s="55">
        <f>A69+1</f>
        <v/>
      </c>
      <c r="B70" s="55" t="inlineStr">
        <is>
          <t>eGroup</t>
        </is>
      </c>
      <c r="C70" s="55" t="inlineStr">
        <is>
          <t>S:\Adhoc\Davin\ESPACE\custgrp</t>
        </is>
      </c>
      <c r="D70" s="55" t="inlineStr">
        <is>
          <t>cust_upsert_daily.txt</t>
        </is>
      </c>
      <c r="E70" s="55" t="inlineStr">
        <is>
          <t>eGroup</t>
        </is>
      </c>
      <c r="G70" s="55" t="inlineStr">
        <is>
          <t>mary</t>
        </is>
      </c>
      <c r="I70" s="44" t="n">
        <v>215</v>
      </c>
      <c r="J70" s="55" t="inlineStr">
        <is>
          <t>Y</t>
        </is>
      </c>
    </row>
    <row r="71">
      <c r="A71" s="55">
        <f>A70+1</f>
        <v/>
      </c>
      <c r="B71" s="55" t="inlineStr">
        <is>
          <t>eGroup</t>
        </is>
      </c>
      <c r="C71" s="55" t="inlineStr">
        <is>
          <t>S:\Adhoc\Davin\ESPACE\custgrp</t>
        </is>
      </c>
      <c r="D71" s="55" t="inlineStr">
        <is>
          <t>new_loan_daily.txt</t>
        </is>
      </c>
      <c r="E71" s="55" t="inlineStr">
        <is>
          <t>eGroup</t>
        </is>
      </c>
      <c r="G71" s="55" t="inlineStr">
        <is>
          <t>mary</t>
        </is>
      </c>
      <c r="I71" s="44" t="n">
        <v>141</v>
      </c>
      <c r="J71" s="55" t="inlineStr">
        <is>
          <t>Y</t>
        </is>
      </c>
    </row>
    <row r="72">
      <c r="A72" s="55">
        <f>A71+1</f>
        <v/>
      </c>
      <c r="B72" s="55" t="inlineStr">
        <is>
          <t>eGroup</t>
        </is>
      </c>
      <c r="C72" s="55" t="inlineStr">
        <is>
          <t>S:\Adhoc\Davin\ESPACE\custgrp</t>
        </is>
      </c>
      <c r="D72" s="55" t="inlineStr">
        <is>
          <t>a1.1.3_gam_fam_Export.txt</t>
        </is>
      </c>
      <c r="E72" s="55" t="inlineStr">
        <is>
          <t>eGroup</t>
        </is>
      </c>
      <c r="G72" s="55" t="inlineStr">
        <is>
          <t>mary</t>
        </is>
      </c>
      <c r="I72" s="44" t="n">
        <v>14</v>
      </c>
      <c r="J72" s="55" t="inlineStr">
        <is>
          <t>Y</t>
        </is>
      </c>
    </row>
    <row r="73">
      <c r="A73" s="55">
        <f>A72+1</f>
        <v/>
      </c>
      <c r="B73" s="55" t="inlineStr">
        <is>
          <t>eGroup</t>
        </is>
      </c>
      <c r="C73" s="55" t="inlineStr">
        <is>
          <t>S:\Adhoc\Davin\ESPACE\custgrp</t>
        </is>
      </c>
      <c r="D73" s="55" t="inlineStr">
        <is>
          <t>a1.2_active_customers_SG.txt</t>
        </is>
      </c>
      <c r="E73" s="55" t="inlineStr">
        <is>
          <t>eGroup</t>
        </is>
      </c>
      <c r="G73" s="55" t="inlineStr">
        <is>
          <t>mary</t>
        </is>
      </c>
      <c r="I73" s="44" t="n">
        <v>232</v>
      </c>
      <c r="J73" s="55" t="inlineStr">
        <is>
          <t>Y</t>
        </is>
      </c>
    </row>
    <row r="74">
      <c r="A74" s="55">
        <f>A73+1</f>
        <v/>
      </c>
      <c r="B74" s="55" t="inlineStr">
        <is>
          <t>eGroup</t>
        </is>
      </c>
      <c r="C74" s="55" t="inlineStr">
        <is>
          <t>S:\Adhoc\Davin\ESPACE\custgrp</t>
        </is>
      </c>
      <c r="D74" s="55" t="inlineStr">
        <is>
          <t>a1.2_active_customers_MO.txt</t>
        </is>
      </c>
      <c r="E74" s="55" t="inlineStr">
        <is>
          <t>eGroup</t>
        </is>
      </c>
      <c r="G74" s="55" t="inlineStr">
        <is>
          <t>mary</t>
        </is>
      </c>
      <c r="I74" s="44" t="n">
        <v>237</v>
      </c>
      <c r="J74" s="55" t="inlineStr">
        <is>
          <t>Y</t>
        </is>
      </c>
    </row>
    <row r="75">
      <c r="A75" s="55">
        <f>A74+1</f>
        <v/>
      </c>
      <c r="B75" s="55" t="inlineStr">
        <is>
          <t>Report - Customer List</t>
        </is>
      </c>
      <c r="C75" s="55" t="inlineStr">
        <is>
          <t>S:\Adhoc\Davin\ESPACE\EREPORT\Cust_DB</t>
        </is>
      </c>
      <c r="D75" s="55" t="inlineStr">
        <is>
          <t>Gen_Cust_List_Daily.txt</t>
        </is>
      </c>
      <c r="E75" s="55" t="inlineStr">
        <is>
          <t>Report - Customer List</t>
        </is>
      </c>
      <c r="G75" s="55" t="inlineStr">
        <is>
          <t>mary</t>
        </is>
      </c>
      <c r="I75" s="44" t="n">
        <v>443</v>
      </c>
    </row>
    <row r="76">
      <c r="A76" s="55">
        <f>A75+1</f>
        <v/>
      </c>
      <c r="B76" s="55" t="inlineStr">
        <is>
          <t>Report - Customer List</t>
        </is>
      </c>
      <c r="C76" s="55" t="inlineStr">
        <is>
          <t>S:\Adhoc\Davin\ESPACE\EREPORT\Cust_DB</t>
        </is>
      </c>
      <c r="D76" s="55" t="inlineStr">
        <is>
          <t>Read_FCDB.txt</t>
        </is>
      </c>
      <c r="E76" s="55" t="inlineStr">
        <is>
          <t>Report - Customer List</t>
        </is>
      </c>
      <c r="G76" s="55" t="inlineStr">
        <is>
          <t>mary</t>
        </is>
      </c>
      <c r="I76" s="44" t="n">
        <v>59</v>
      </c>
    </row>
    <row r="77">
      <c r="A77" s="55">
        <f>A76+1</f>
        <v/>
      </c>
      <c r="B77" s="55" t="inlineStr">
        <is>
          <t>Report - Customer List</t>
        </is>
      </c>
      <c r="C77" s="55" t="inlineStr">
        <is>
          <t>S:\Adhoc\Davin\ESPACE\EREPORT\Cust_DB</t>
        </is>
      </c>
      <c r="D77" s="55" t="inlineStr">
        <is>
          <t>Gen_Cust_List_Daily_SG.txt</t>
        </is>
      </c>
      <c r="E77" s="55" t="inlineStr">
        <is>
          <t>Report - Customer List</t>
        </is>
      </c>
      <c r="G77" s="55" t="inlineStr">
        <is>
          <t>mary</t>
        </is>
      </c>
      <c r="I77" s="44" t="n">
        <v>348</v>
      </c>
    </row>
    <row r="78">
      <c r="A78" s="55">
        <f>A77+1</f>
        <v/>
      </c>
      <c r="B78" s="55" t="inlineStr">
        <is>
          <t>Report - Customer List</t>
        </is>
      </c>
      <c r="C78" s="55" t="inlineStr">
        <is>
          <t>S:\Adhoc\Davin\ESPACE\EREPORT\Cust_DB</t>
        </is>
      </c>
      <c r="D78" s="55" t="inlineStr">
        <is>
          <t>Gen_Cust_List_Daily_MO.txt</t>
        </is>
      </c>
      <c r="E78" s="55" t="inlineStr">
        <is>
          <t>Report - Customer List</t>
        </is>
      </c>
      <c r="G78" s="55" t="inlineStr">
        <is>
          <t>mary</t>
        </is>
      </c>
      <c r="I78" s="44" t="n">
        <v>348</v>
      </c>
    </row>
    <row r="79">
      <c r="A79" s="55">
        <f>A78+1</f>
        <v/>
      </c>
      <c r="B79" s="55" t="inlineStr">
        <is>
          <t>Report - Customer List</t>
        </is>
      </c>
      <c r="C79" s="55" t="inlineStr">
        <is>
          <t>S:\Adhoc\Davin\ESPACE\EREPORT\Cust_DB</t>
        </is>
      </c>
      <c r="D79" s="55" t="inlineStr">
        <is>
          <t>Gen_Cust_List_Daily_US.txt</t>
        </is>
      </c>
      <c r="E79" s="55" t="inlineStr">
        <is>
          <t>Report - Customer List</t>
        </is>
      </c>
      <c r="G79" s="55" t="inlineStr">
        <is>
          <t>mary</t>
        </is>
      </c>
      <c r="I79" s="44" t="n">
        <v>282</v>
      </c>
    </row>
    <row r="80">
      <c r="A80" s="55">
        <f>A79+1</f>
        <v/>
      </c>
      <c r="B80" s="55" t="inlineStr">
        <is>
          <t>Report - Customer List</t>
        </is>
      </c>
      <c r="C80" s="55" t="inlineStr">
        <is>
          <t>S:\Adhoc\Davin\ESPACE\EREPORT\Cust_DB</t>
        </is>
      </c>
      <c r="D80" s="55" t="inlineStr">
        <is>
          <t>$Gen_Cust_List_Daily_Run.txt</t>
        </is>
      </c>
      <c r="E80" s="55" t="inlineStr">
        <is>
          <t>Report - Customer List</t>
        </is>
      </c>
      <c r="G80" s="55" t="inlineStr">
        <is>
          <t>mary</t>
        </is>
      </c>
      <c r="I80" s="44" t="n">
        <v>57</v>
      </c>
      <c r="J80" s="55" t="inlineStr">
        <is>
          <t>Y</t>
        </is>
      </c>
    </row>
    <row r="81">
      <c r="A81" s="55">
        <f>A80+1</f>
        <v/>
      </c>
      <c r="B81" s="55" t="inlineStr">
        <is>
          <t>Report - Customer List</t>
        </is>
      </c>
      <c r="C81" s="55" t="inlineStr">
        <is>
          <t>S:\Adhoc\Davin\ESPACE\EREPORT\Cust_DB</t>
        </is>
      </c>
      <c r="D81" s="55" t="inlineStr">
        <is>
          <t>Gen_Cust_List_Daily_HK.txt</t>
        </is>
      </c>
      <c r="E81" s="55" t="inlineStr">
        <is>
          <t>Report - Customer List</t>
        </is>
      </c>
      <c r="G81" s="55" t="inlineStr">
        <is>
          <t>mary</t>
        </is>
      </c>
      <c r="I81" s="44" t="n">
        <v>84</v>
      </c>
    </row>
    <row r="82">
      <c r="A82" s="55">
        <f>A81+1</f>
        <v/>
      </c>
      <c r="B82" s="55" t="inlineStr">
        <is>
          <t>Report - Facility Utilization Report</t>
        </is>
      </c>
      <c r="C82" s="55" t="inlineStr">
        <is>
          <t>S:\Adhoc\Davin\ESPACE\EREPORT\FACILITY_UTIL_DB</t>
        </is>
      </c>
      <c r="D82" s="55" t="inlineStr">
        <is>
          <t>04_Facility_Extra.txt</t>
        </is>
      </c>
      <c r="E82" s="55" t="inlineStr">
        <is>
          <t>Report - Facility Utilization Report</t>
        </is>
      </c>
      <c r="G82" s="55" t="inlineStr">
        <is>
          <t>mary</t>
        </is>
      </c>
      <c r="I82" s="44" t="n">
        <v>570</v>
      </c>
    </row>
    <row r="83">
      <c r="A83" s="55">
        <f>A82+1</f>
        <v/>
      </c>
      <c r="B83" s="55" t="inlineStr">
        <is>
          <t>Report - Facility Utilization Report</t>
        </is>
      </c>
      <c r="C83" s="55" t="inlineStr">
        <is>
          <t>S:\Adhoc\Davin\ESPACE\EREPORT\FACILITY_UTIL_DB</t>
        </is>
      </c>
      <c r="D83" s="55" t="inlineStr">
        <is>
          <t>00a_Format_Creation.txt</t>
        </is>
      </c>
      <c r="E83" s="55" t="inlineStr">
        <is>
          <t>Report - Facility Utilization Report</t>
        </is>
      </c>
      <c r="G83" s="55" t="inlineStr">
        <is>
          <t>mary</t>
        </is>
      </c>
      <c r="I83" s="44" t="n">
        <v>314</v>
      </c>
    </row>
    <row r="84">
      <c r="A84" s="55">
        <f>A83+1</f>
        <v/>
      </c>
      <c r="B84" s="55" t="inlineStr">
        <is>
          <t>Report - Facility Utilization Report</t>
        </is>
      </c>
      <c r="C84" s="55" t="inlineStr">
        <is>
          <t>S:\Adhoc\Davin\ESPACE\EREPORT\FACILITY_UTIL_DB</t>
        </is>
      </c>
      <c r="D84" s="55" t="inlineStr">
        <is>
          <t>02_Facility_Source.txt</t>
        </is>
      </c>
      <c r="E84" s="55" t="inlineStr">
        <is>
          <t>Report - Facility Utilization Report</t>
        </is>
      </c>
      <c r="G84" s="55" t="inlineStr">
        <is>
          <t>mary</t>
        </is>
      </c>
      <c r="I84" s="44" t="n">
        <v>662</v>
      </c>
    </row>
    <row r="85">
      <c r="A85" s="55">
        <f>A84+1</f>
        <v/>
      </c>
      <c r="B85" s="55" t="inlineStr">
        <is>
          <t>Report - Facility Utilization Report</t>
        </is>
      </c>
      <c r="C85" s="55" t="inlineStr">
        <is>
          <t>S:\Adhoc\Davin\ESPACE\EREPORT\FACILITY_UTIL_DB</t>
        </is>
      </c>
      <c r="D85" s="55" t="inlineStr">
        <is>
          <t>01_CUST_AGENT.txt</t>
        </is>
      </c>
      <c r="E85" s="55" t="inlineStr">
        <is>
          <t>Report - Facility Utilization Report</t>
        </is>
      </c>
      <c r="G85" s="55" t="inlineStr">
        <is>
          <t>mary</t>
        </is>
      </c>
      <c r="I85" s="44" t="n">
        <v>111</v>
      </c>
    </row>
    <row r="86">
      <c r="A86" s="55">
        <f>A85+1</f>
        <v/>
      </c>
      <c r="B86" s="55" t="inlineStr">
        <is>
          <t>Report - Facility Utilization Report</t>
        </is>
      </c>
      <c r="C86" s="55" t="inlineStr">
        <is>
          <t>S:\Adhoc\Davin\ESPACE\EREPORT\FACILITY_UTIL_DB</t>
        </is>
      </c>
      <c r="D86" s="55" t="inlineStr">
        <is>
          <t>$XX_Run.txt</t>
        </is>
      </c>
      <c r="E86" s="55" t="inlineStr">
        <is>
          <t>Report - Facility Utilization Report</t>
        </is>
      </c>
      <c r="G86" s="55" t="inlineStr">
        <is>
          <t>mary</t>
        </is>
      </c>
      <c r="I86" s="44" t="n">
        <v>64</v>
      </c>
      <c r="J86" s="55" t="inlineStr">
        <is>
          <t>Y</t>
        </is>
      </c>
    </row>
    <row r="87">
      <c r="A87" s="55">
        <f>A86+1</f>
        <v/>
      </c>
      <c r="B87" s="55" t="inlineStr">
        <is>
          <t>Report - Facility Utilization Report</t>
        </is>
      </c>
      <c r="C87" s="55" t="inlineStr">
        <is>
          <t>S:\Adhoc\Davin\ESPACE\EREPORT\FACILITY_UTIL_DB</t>
        </is>
      </c>
      <c r="D87" s="55" t="inlineStr">
        <is>
          <t>03_Facility_Report_Cust_Details.txt</t>
        </is>
      </c>
      <c r="E87" s="55" t="inlineStr">
        <is>
          <t>Report - Facility Utilization Report</t>
        </is>
      </c>
      <c r="G87" s="55" t="inlineStr">
        <is>
          <t>mary</t>
        </is>
      </c>
      <c r="I87" s="44" t="n">
        <v>1197</v>
      </c>
    </row>
    <row r="88">
      <c r="A88" s="55">
        <f>A87+1</f>
        <v/>
      </c>
      <c r="B88" s="55" t="inlineStr">
        <is>
          <t>Report - Facility Utilization Report</t>
        </is>
      </c>
      <c r="C88" s="55" t="inlineStr">
        <is>
          <t>S:\Adhoc\Davin\ESPACE\EREPORT\FACILITY_UTIL_DB</t>
        </is>
      </c>
      <c r="D88" s="55" t="inlineStr">
        <is>
          <t>05_Fac_Line_checking.txt</t>
        </is>
      </c>
      <c r="E88" s="55" t="inlineStr">
        <is>
          <t>Report - Facility Utilization Report</t>
        </is>
      </c>
      <c r="G88" s="55" t="inlineStr">
        <is>
          <t>mary</t>
        </is>
      </c>
      <c r="I88" s="44" t="n">
        <v>162</v>
      </c>
    </row>
    <row r="89">
      <c r="A89" s="55">
        <f>A88+1</f>
        <v/>
      </c>
      <c r="B89" s="55" t="inlineStr">
        <is>
          <t>Report - Facility Utilization Report</t>
        </is>
      </c>
      <c r="C89" s="55" t="inlineStr">
        <is>
          <t>S:\Adhoc\Davin\ESPACE\EREPORT\FACILITY_UTIL_DB</t>
        </is>
      </c>
      <c r="D89" s="55" t="inlineStr">
        <is>
          <t>00b_PROC_IMPORT.txt</t>
        </is>
      </c>
      <c r="E89" s="55" t="inlineStr">
        <is>
          <t>Report - Facility Utilization Report</t>
        </is>
      </c>
      <c r="G89" s="55" t="inlineStr">
        <is>
          <t>mary</t>
        </is>
      </c>
      <c r="I89" s="44" t="n">
        <v>28</v>
      </c>
    </row>
    <row r="90">
      <c r="A90" s="55">
        <f>A89+1</f>
        <v/>
      </c>
      <c r="B90" s="73" t="inlineStr">
        <is>
          <t>Report - Fixed Deposit Report</t>
        </is>
      </c>
      <c r="C90" s="74" t="inlineStr">
        <is>
          <t>S:\Adhoc\Davin\ESPACE\EREPORT\FD_DB</t>
        </is>
      </c>
      <c r="D90" s="74" t="inlineStr">
        <is>
          <t>$XX_FD_Run.txt</t>
        </is>
      </c>
      <c r="E90" s="74" t="inlineStr">
        <is>
          <t>Report - Fixed Deposit Report</t>
        </is>
      </c>
      <c r="G90" s="55" t="inlineStr">
        <is>
          <t>mary</t>
        </is>
      </c>
      <c r="I90" s="44" t="n">
        <v>137</v>
      </c>
      <c r="J90" s="55" t="inlineStr">
        <is>
          <t>Y</t>
        </is>
      </c>
    </row>
    <row r="91">
      <c r="A91" s="55">
        <f>A90+1</f>
        <v/>
      </c>
      <c r="B91" s="73" t="inlineStr">
        <is>
          <t>Report - Fixed Deposit Report</t>
        </is>
      </c>
      <c r="C91" s="74" t="inlineStr">
        <is>
          <t>S:\Adhoc\Davin\ESPACE\EREPORT\FD_DB</t>
        </is>
      </c>
      <c r="D91" s="74" t="inlineStr">
        <is>
          <t>01_Src_Fixed_Dep.txt</t>
        </is>
      </c>
      <c r="E91" s="74" t="inlineStr">
        <is>
          <t>Report - Fixed Deposit Report</t>
        </is>
      </c>
      <c r="G91" s="55" t="inlineStr">
        <is>
          <t>mary</t>
        </is>
      </c>
      <c r="I91" s="44" t="n">
        <v>132</v>
      </c>
    </row>
    <row r="92">
      <c r="A92" s="55">
        <f>A91+1</f>
        <v/>
      </c>
      <c r="B92" s="73" t="inlineStr">
        <is>
          <t>Report - Fixed Deposit Report</t>
        </is>
      </c>
      <c r="C92" s="74" t="inlineStr">
        <is>
          <t>S:\Adhoc\Davin\ESPACE\EREPORT\FD_DB</t>
        </is>
      </c>
      <c r="D92" s="74" t="inlineStr">
        <is>
          <t>02_Src_Fixed_Dep_OV.txt</t>
        </is>
      </c>
      <c r="E92" s="74" t="inlineStr">
        <is>
          <t>Report - Fixed Deposit Report</t>
        </is>
      </c>
      <c r="G92" s="55" t="inlineStr">
        <is>
          <t>mary</t>
        </is>
      </c>
      <c r="I92" s="44" t="n">
        <v>309</v>
      </c>
    </row>
    <row r="93">
      <c r="A93" s="55">
        <f>A92+1</f>
        <v/>
      </c>
      <c r="B93" s="73" t="inlineStr">
        <is>
          <t>Report - Fixed Deposit Report</t>
        </is>
      </c>
      <c r="C93" s="74" t="inlineStr">
        <is>
          <t>S:\Adhoc\Davin\ESPACE\EREPORT\FD_DB</t>
        </is>
      </c>
      <c r="D93" s="74" t="inlineStr">
        <is>
          <t>03_Fixed_Dep_Combo.txt</t>
        </is>
      </c>
      <c r="E93" s="74" t="inlineStr">
        <is>
          <t>Report - Fixed Deposit Report</t>
        </is>
      </c>
      <c r="G93" s="55" t="inlineStr">
        <is>
          <t>mary</t>
        </is>
      </c>
      <c r="I93" s="44" t="n">
        <v>136</v>
      </c>
    </row>
    <row r="94">
      <c r="A94" s="55">
        <f>A93+1</f>
        <v/>
      </c>
      <c r="B94" s="73" t="inlineStr">
        <is>
          <t>Report - Fixed Deposit Report</t>
        </is>
      </c>
      <c r="C94" s="74" t="inlineStr">
        <is>
          <t>S:\Adhoc\Davin\ESPACE\EREPORT\FD_DB</t>
        </is>
      </c>
      <c r="D94" s="74" t="inlineStr">
        <is>
          <t>04_Deposit_Report.txt</t>
        </is>
      </c>
      <c r="E94" s="74" t="inlineStr">
        <is>
          <t>Report - Fixed Deposit Report</t>
        </is>
      </c>
      <c r="G94" s="55" t="inlineStr">
        <is>
          <t>mary</t>
        </is>
      </c>
      <c r="I94" s="44" t="n">
        <v>160</v>
      </c>
    </row>
    <row r="95">
      <c r="A95" s="55">
        <f>A94+1</f>
        <v/>
      </c>
      <c r="B95" s="72" t="inlineStr">
        <is>
          <t>Fund Flow</t>
        </is>
      </c>
      <c r="C95" s="55" t="inlineStr">
        <is>
          <t>S:\Adhoc\Davin\ESPACE\EREPORT\FUND_FLOW</t>
        </is>
      </c>
      <c r="D95" s="55" t="inlineStr">
        <is>
          <t>Fund_Flow_Currency.txt</t>
        </is>
      </c>
      <c r="E95" s="55" t="inlineStr">
        <is>
          <t>Fund Flow</t>
        </is>
      </c>
      <c r="G95" s="55" t="inlineStr">
        <is>
          <t>mary</t>
        </is>
      </c>
      <c r="I95" s="44" t="n">
        <v>43</v>
      </c>
      <c r="J95" s="55" t="inlineStr">
        <is>
          <t>Y</t>
        </is>
      </c>
    </row>
    <row r="96">
      <c r="A96" s="55">
        <f>A95+1</f>
        <v/>
      </c>
      <c r="B96" s="72" t="inlineStr">
        <is>
          <t>Fund Flow</t>
        </is>
      </c>
      <c r="C96" s="55" t="inlineStr">
        <is>
          <t>S:\Adhoc\Davin\ESPACE\EREPORT\FUND_FLOW</t>
        </is>
      </c>
      <c r="D96" s="55" t="inlineStr">
        <is>
          <t>Gen_Loan_Repayment.txt</t>
        </is>
      </c>
      <c r="E96" s="55" t="inlineStr">
        <is>
          <t>Fund Flow</t>
        </is>
      </c>
      <c r="G96" s="55" t="inlineStr">
        <is>
          <t>mary</t>
        </is>
      </c>
      <c r="I96" s="44" t="n">
        <v>387</v>
      </c>
      <c r="J96" s="55" t="inlineStr">
        <is>
          <t>Y</t>
        </is>
      </c>
    </row>
    <row r="97">
      <c r="A97" s="55">
        <f>A96+1</f>
        <v/>
      </c>
      <c r="B97" s="75" t="inlineStr">
        <is>
          <t>Report - Loan and Deposit Movement Report</t>
        </is>
      </c>
      <c r="C97" s="55" t="inlineStr">
        <is>
          <t>S:\Adhoc\Davin\ESPACE\EREPORT\MOVEMENT_DB\base XX programs</t>
        </is>
      </c>
      <c r="D97" s="55" t="inlineStr">
        <is>
          <t>$XX_Movement_Run.txt</t>
        </is>
      </c>
      <c r="E97" s="55" t="inlineStr">
        <is>
          <t>Report - Loan and Deposit Movement Report</t>
        </is>
      </c>
      <c r="F97" t="inlineStr">
        <is>
          <t>Y</t>
        </is>
      </c>
      <c r="G97" s="55" t="inlineStr">
        <is>
          <t>mary</t>
        </is>
      </c>
      <c r="I97" s="44" t="n">
        <v>104</v>
      </c>
      <c r="J97" s="55" t="inlineStr">
        <is>
          <t>Y</t>
        </is>
      </c>
    </row>
    <row r="98">
      <c r="A98" s="55">
        <f>A97+1</f>
        <v/>
      </c>
      <c r="B98" s="75" t="inlineStr">
        <is>
          <t>Report - Loan and Deposit Movement Report</t>
        </is>
      </c>
      <c r="C98" s="55" t="inlineStr">
        <is>
          <t>S:\Adhoc\Davin\ESPACE\EREPORT\MOVEMENT_DB\base XX programs</t>
        </is>
      </c>
      <c r="D98" s="55" t="inlineStr">
        <is>
          <t>00a_Pre_Extract.txt</t>
        </is>
      </c>
      <c r="E98" s="55" t="inlineStr">
        <is>
          <t>Report - Loan and Deposit Movement Report</t>
        </is>
      </c>
      <c r="F98" t="inlineStr">
        <is>
          <t>Y</t>
        </is>
      </c>
      <c r="G98" s="55" t="inlineStr">
        <is>
          <t>mary</t>
        </is>
      </c>
      <c r="I98" s="44" t="n">
        <v>128</v>
      </c>
    </row>
    <row r="99">
      <c r="A99" s="55">
        <f>A98+1</f>
        <v/>
      </c>
      <c r="B99" s="75" t="inlineStr">
        <is>
          <t>Report - Loan and Deposit Movement Report</t>
        </is>
      </c>
      <c r="C99" s="55" t="inlineStr">
        <is>
          <t>S:\Adhoc\Davin\ESPACE\EREPORT\MOVEMENT_DB\base XX programs</t>
        </is>
      </c>
      <c r="D99" s="55" t="inlineStr">
        <is>
          <t>00_Format_Creation.txt</t>
        </is>
      </c>
      <c r="E99" s="55" t="inlineStr">
        <is>
          <t>Report - Loan and Deposit Movement Report</t>
        </is>
      </c>
      <c r="F99" t="inlineStr">
        <is>
          <t>Y</t>
        </is>
      </c>
      <c r="G99" s="55" t="inlineStr">
        <is>
          <t>mary</t>
        </is>
      </c>
      <c r="I99" s="44" t="n">
        <v>215</v>
      </c>
    </row>
    <row r="100">
      <c r="A100" s="55">
        <f>A99+1</f>
        <v/>
      </c>
      <c r="B100" s="75" t="inlineStr">
        <is>
          <t>Report - Loan and Deposit Movement Report</t>
        </is>
      </c>
      <c r="C100" s="55" t="inlineStr">
        <is>
          <t>S:\Adhoc\Davin\ESPACE\EREPORT\MOVEMENT_DB\base XX programs</t>
        </is>
      </c>
      <c r="D100" s="55" t="inlineStr">
        <is>
          <t>01_RM.txt</t>
        </is>
      </c>
      <c r="E100" s="55" t="inlineStr">
        <is>
          <t>Report - Loan and Deposit Movement Report</t>
        </is>
      </c>
      <c r="F100" t="inlineStr">
        <is>
          <t>Y</t>
        </is>
      </c>
      <c r="G100" s="55" t="inlineStr">
        <is>
          <t>mary</t>
        </is>
      </c>
      <c r="I100" s="44" t="n">
        <v>20</v>
      </c>
    </row>
    <row r="101">
      <c r="A101" s="55">
        <f>A100+1</f>
        <v/>
      </c>
      <c r="B101" s="75" t="inlineStr">
        <is>
          <t>Report - Loan and Deposit Movement Report</t>
        </is>
      </c>
      <c r="C101" s="55" t="inlineStr">
        <is>
          <t>S:\Adhoc\Davin\ESPACE\EREPORT\MOVEMENT_DB\base XX programs</t>
        </is>
      </c>
      <c r="D101" s="55" t="inlineStr">
        <is>
          <t>02_IW_Extract_Last_Day.txt</t>
        </is>
      </c>
      <c r="E101" s="55" t="inlineStr">
        <is>
          <t>Report - Loan and Deposit Movement Report</t>
        </is>
      </c>
      <c r="F101" t="inlineStr">
        <is>
          <t>Y</t>
        </is>
      </c>
      <c r="G101" s="55" t="inlineStr">
        <is>
          <t>mary</t>
        </is>
      </c>
      <c r="I101" s="44" t="n">
        <v>348</v>
      </c>
    </row>
    <row r="102">
      <c r="A102" s="55">
        <f>A101+1</f>
        <v/>
      </c>
      <c r="B102" s="75" t="inlineStr">
        <is>
          <t>Report - Loan and Deposit Movement Report</t>
        </is>
      </c>
      <c r="C102" s="55" t="inlineStr">
        <is>
          <t>S:\Adhoc\Davin\ESPACE\EREPORT\MOVEMENT_DB\base XX programs</t>
        </is>
      </c>
      <c r="D102" s="55" t="inlineStr">
        <is>
          <t>03_IW_Extract_Day_Before.txt</t>
        </is>
      </c>
      <c r="E102" s="55" t="inlineStr">
        <is>
          <t>Report - Loan and Deposit Movement Report</t>
        </is>
      </c>
      <c r="F102" t="inlineStr">
        <is>
          <t>Y</t>
        </is>
      </c>
      <c r="G102" s="55" t="inlineStr">
        <is>
          <t>mary</t>
        </is>
      </c>
      <c r="I102" s="44" t="n">
        <v>313</v>
      </c>
    </row>
    <row r="103">
      <c r="A103" s="55">
        <f>A102+1</f>
        <v/>
      </c>
      <c r="B103" s="75" t="inlineStr">
        <is>
          <t>Report - Loan and Deposit Movement Report</t>
        </is>
      </c>
      <c r="C103" s="55" t="inlineStr">
        <is>
          <t>S:\Adhoc\Davin\ESPACE\EREPORT\MOVEMENT_DB\base XX programs</t>
        </is>
      </c>
      <c r="D103" s="55" t="inlineStr">
        <is>
          <t>04_IW_Extract_Month.txt</t>
        </is>
      </c>
      <c r="E103" s="55" t="inlineStr">
        <is>
          <t>Report - Loan and Deposit Movement Report</t>
        </is>
      </c>
      <c r="F103" t="inlineStr">
        <is>
          <t>Y</t>
        </is>
      </c>
      <c r="G103" s="55" t="inlineStr">
        <is>
          <t>mary</t>
        </is>
      </c>
      <c r="I103" s="44" t="n">
        <v>350</v>
      </c>
    </row>
    <row r="104">
      <c r="A104" s="55">
        <f>A103+1</f>
        <v/>
      </c>
      <c r="B104" s="75" t="inlineStr">
        <is>
          <t>Report - Loan and Deposit Movement Report</t>
        </is>
      </c>
      <c r="C104" s="55" t="inlineStr">
        <is>
          <t>S:\Adhoc\Davin\ESPACE\EREPORT\MOVEMENT_DB\base XX programs</t>
        </is>
      </c>
      <c r="D104" s="55" t="inlineStr">
        <is>
          <t>05_Date_Combo.txt</t>
        </is>
      </c>
      <c r="E104" s="55" t="inlineStr">
        <is>
          <t>Report - Loan and Deposit Movement Report</t>
        </is>
      </c>
      <c r="F104" t="inlineStr">
        <is>
          <t>Y</t>
        </is>
      </c>
      <c r="G104" s="55" t="inlineStr">
        <is>
          <t>mary</t>
        </is>
      </c>
      <c r="I104" s="44" t="n">
        <v>271</v>
      </c>
    </row>
    <row r="105">
      <c r="A105" s="55">
        <f>A104+1</f>
        <v/>
      </c>
      <c r="B105" s="75" t="inlineStr">
        <is>
          <t>Report - Loan and Deposit Movement Report</t>
        </is>
      </c>
      <c r="C105" s="55" t="inlineStr">
        <is>
          <t>S:\Adhoc\Davin\ESPACE\EREPORT\MOVEMENT_DB\base XX programs</t>
        </is>
      </c>
      <c r="D105" s="55" t="inlineStr">
        <is>
          <t>06_Date_Combo_Month.txt</t>
        </is>
      </c>
      <c r="E105" s="55" t="inlineStr">
        <is>
          <t>Report - Loan and Deposit Movement Report</t>
        </is>
      </c>
      <c r="F105" t="inlineStr">
        <is>
          <t>Y</t>
        </is>
      </c>
      <c r="G105" s="55" t="inlineStr">
        <is>
          <t>mary</t>
        </is>
      </c>
      <c r="I105" s="44" t="n">
        <v>195</v>
      </c>
    </row>
    <row r="106">
      <c r="A106" s="55">
        <f>A105+1</f>
        <v/>
      </c>
      <c r="B106" s="75" t="inlineStr">
        <is>
          <t>Report - Loan and Deposit Movement Report</t>
        </is>
      </c>
      <c r="C106" s="55" t="inlineStr">
        <is>
          <t>S:\Adhoc\Davin\ESPACE\EREPORT\MOVEMENT_DB\base XX programs</t>
        </is>
      </c>
      <c r="D106" s="55" t="inlineStr">
        <is>
          <t>071_ABC.txt</t>
        </is>
      </c>
      <c r="E106" s="55" t="inlineStr">
        <is>
          <t>Report - Loan and Deposit Movement Report</t>
        </is>
      </c>
      <c r="G106" s="55" t="inlineStr">
        <is>
          <t>mary</t>
        </is>
      </c>
      <c r="I106" s="44" t="n">
        <v>31</v>
      </c>
      <c r="J106" s="55" t="n"/>
    </row>
    <row r="107">
      <c r="A107" s="55">
        <f>A106+1</f>
        <v/>
      </c>
      <c r="B107" s="75" t="inlineStr">
        <is>
          <t>Report - Loan and Deposit Movement Report</t>
        </is>
      </c>
      <c r="C107" s="55" t="inlineStr">
        <is>
          <t>S:\Adhoc\Davin\ESPACE\EREPORT\MOVEMENT_DB\base XX programs</t>
        </is>
      </c>
      <c r="D107" s="55" t="inlineStr">
        <is>
          <t>07_Citic.txt</t>
        </is>
      </c>
      <c r="E107" s="55" t="inlineStr">
        <is>
          <t>Report - Loan and Deposit Movement Report</t>
        </is>
      </c>
      <c r="G107" s="55" t="inlineStr">
        <is>
          <t>mary</t>
        </is>
      </c>
      <c r="I107" s="44" t="n">
        <v>59</v>
      </c>
      <c r="J107" s="55" t="n"/>
    </row>
    <row r="108">
      <c r="A108" s="55">
        <f>A107+1</f>
        <v/>
      </c>
      <c r="B108" s="75" t="inlineStr">
        <is>
          <t>Report - Loan and Deposit Movement Report</t>
        </is>
      </c>
      <c r="C108" s="55" t="inlineStr">
        <is>
          <t>S:\Adhoc\Davin\ESPACE\EREPORT\MOVEMENT_DB\base XX programs</t>
        </is>
      </c>
      <c r="D108" s="55" t="inlineStr">
        <is>
          <t>08a_Outdata_holiday.txt</t>
        </is>
      </c>
      <c r="E108" s="55" t="inlineStr">
        <is>
          <t>Report - Loan and Deposit Movement Report</t>
        </is>
      </c>
      <c r="F108" t="inlineStr">
        <is>
          <t>Y</t>
        </is>
      </c>
      <c r="G108" s="55" t="inlineStr">
        <is>
          <t>mary</t>
        </is>
      </c>
      <c r="I108" s="44" t="n">
        <v>159</v>
      </c>
    </row>
    <row r="109">
      <c r="A109" s="55">
        <f>A108+1</f>
        <v/>
      </c>
      <c r="B109" s="75" t="inlineStr">
        <is>
          <t>Report - Loan and Deposit Movement Report</t>
        </is>
      </c>
      <c r="C109" s="55" t="inlineStr">
        <is>
          <t>S:\Adhoc\Davin\ESPACE\EREPORT\MOVEMENT_DB\base XX programs</t>
        </is>
      </c>
      <c r="D109" s="55" t="inlineStr">
        <is>
          <t>08_Outdata.txt</t>
        </is>
      </c>
      <c r="E109" s="55" t="inlineStr">
        <is>
          <t>Report - Loan and Deposit Movement Report</t>
        </is>
      </c>
      <c r="F109" t="inlineStr">
        <is>
          <t>Y</t>
        </is>
      </c>
      <c r="G109" s="55" t="inlineStr">
        <is>
          <t>mary</t>
        </is>
      </c>
      <c r="I109" s="44" t="n">
        <v>223</v>
      </c>
    </row>
    <row r="110">
      <c r="A110" s="55">
        <f>A109+1</f>
        <v/>
      </c>
      <c r="B110" s="75" t="inlineStr">
        <is>
          <t>Report - Loan and Deposit Movement Report</t>
        </is>
      </c>
      <c r="C110" s="55" t="inlineStr">
        <is>
          <t>S:\Adhoc\Davin\ESPACE\EREPORT\MOVEMENT_DB\base XX programs</t>
        </is>
      </c>
      <c r="D110" s="55" t="inlineStr">
        <is>
          <t>09_Deposit_Alert.txt</t>
        </is>
      </c>
      <c r="E110" s="55" t="inlineStr">
        <is>
          <t>Report - Loan and Deposit Movement Report</t>
        </is>
      </c>
      <c r="F110" t="inlineStr">
        <is>
          <t>Y</t>
        </is>
      </c>
      <c r="G110" s="55" t="inlineStr">
        <is>
          <t>mary</t>
        </is>
      </c>
      <c r="I110" s="44" t="n">
        <v>280</v>
      </c>
      <c r="J110" s="55" t="n"/>
    </row>
    <row r="111">
      <c r="A111" s="55">
        <f>A110+1</f>
        <v/>
      </c>
      <c r="B111" s="75" t="inlineStr">
        <is>
          <t>Report - Loan and Deposit Movement Report</t>
        </is>
      </c>
      <c r="C111" s="55" t="inlineStr">
        <is>
          <t>S:\Adhoc\Davin\ESPACE\EREPORT\MOVEMENT_DB\base XX programs</t>
        </is>
      </c>
      <c r="D111" s="55" t="inlineStr">
        <is>
          <t>MBR_Balance_new.txt</t>
        </is>
      </c>
      <c r="E111" s="55" t="inlineStr">
        <is>
          <t>Report - Loan and Deposit Movement Report</t>
        </is>
      </c>
      <c r="F111" t="inlineStr">
        <is>
          <t>Y</t>
        </is>
      </c>
      <c r="G111" s="55" t="inlineStr">
        <is>
          <t>mary</t>
        </is>
      </c>
      <c r="I111" s="44" t="n">
        <v>320</v>
      </c>
    </row>
    <row r="112">
      <c r="A112" s="55">
        <f>A111+1</f>
        <v/>
      </c>
      <c r="B112" s="75" t="inlineStr">
        <is>
          <t>Report - Loan and Deposit Movement Report</t>
        </is>
      </c>
      <c r="C112" s="55" t="inlineStr">
        <is>
          <t>S:\Adhoc\Davin\ESPACE\EREPORT\MOVEMENT_DB\base XX programs</t>
        </is>
      </c>
      <c r="D112" s="55" t="inlineStr">
        <is>
          <t>SG_Balance_new.txt</t>
        </is>
      </c>
      <c r="E112" s="55" t="inlineStr">
        <is>
          <t>Report - Loan and Deposit Movement Report</t>
        </is>
      </c>
      <c r="F112" t="inlineStr">
        <is>
          <t>Y</t>
        </is>
      </c>
      <c r="G112" s="55" t="inlineStr">
        <is>
          <t>mary</t>
        </is>
      </c>
      <c r="I112" s="44" t="n">
        <v>322</v>
      </c>
    </row>
    <row r="113" ht="140" customHeight="1" s="57">
      <c r="A113" s="55">
        <f>A112+1</f>
        <v/>
      </c>
      <c r="B113" s="75" t="inlineStr">
        <is>
          <t>Report - Loan and Deposit Movement Report</t>
        </is>
      </c>
      <c r="C113" s="55" t="inlineStr">
        <is>
          <t>S:\Adhoc\Davin\ESPACE\EREPORT\MOVEMENT_DB\base XX programs</t>
        </is>
      </c>
      <c r="D113" s="55" t="inlineStr">
        <is>
          <t>US_Balance_Individual_Run.txt</t>
        </is>
      </c>
      <c r="E113" s="55" t="inlineStr">
        <is>
          <t>Report - Loan and Deposit Movement Report</t>
        </is>
      </c>
      <c r="F113" t="inlineStr">
        <is>
          <t>Y</t>
        </is>
      </c>
      <c r="G113" s="55" t="inlineStr">
        <is>
          <t>mary</t>
        </is>
      </c>
      <c r="H113" s="25" t="inlineStr">
        <is>
          <t>IMH tables: 
VI_USDEB_CUST
VI_USMEB_CUST
VI_IADNX_RATES_HIST
VI_IADNX_RATES_HIST_CDAY
VI_IAMNX_EXCHANGE_CMTH
VI_IADKR_FAC_LINE
VI_IADBS_KW_AC_EXP_OV
VI_USDPF_TP_ACCUM
VI_USMPF_AC_TP</t>
        </is>
      </c>
      <c r="I113" s="44" t="n">
        <v>423</v>
      </c>
      <c r="J113" s="55" t="inlineStr">
        <is>
          <t>Y</t>
        </is>
      </c>
    </row>
    <row r="114">
      <c r="A114" s="55">
        <f>A113+1</f>
        <v/>
      </c>
      <c r="B114" s="75" t="inlineStr">
        <is>
          <t>Report - Loan and Deposit Movement Report</t>
        </is>
      </c>
      <c r="C114" s="55" t="inlineStr">
        <is>
          <t>S:\Adhoc\Davin\ESPACE\EREPORT\MOVEMENT_DB\base XX programs</t>
        </is>
      </c>
      <c r="D114" s="55" t="inlineStr">
        <is>
          <t>US_GL_BALANCE.txt</t>
        </is>
      </c>
      <c r="E114" s="55" t="inlineStr">
        <is>
          <t>Report - Loan and Deposit Movement Report</t>
        </is>
      </c>
      <c r="F114" t="inlineStr">
        <is>
          <t>Y</t>
        </is>
      </c>
      <c r="G114" s="55" t="inlineStr">
        <is>
          <t>mary</t>
        </is>
      </c>
      <c r="I114" s="44" t="n">
        <v>101</v>
      </c>
      <c r="J114" s="55" t="inlineStr">
        <is>
          <t>Y</t>
        </is>
      </c>
    </row>
    <row r="115">
      <c r="A115" s="55">
        <f>A114+1</f>
        <v/>
      </c>
      <c r="B115" s="75" t="inlineStr">
        <is>
          <t>Report - Loan and Deposit Movement Report</t>
        </is>
      </c>
      <c r="C115" s="55" t="inlineStr">
        <is>
          <t>S:\Adhoc\Davin\ESPACE\EREPORT\MOVEMENT_DB\base XX programs</t>
        </is>
      </c>
      <c r="D115" s="55" t="inlineStr">
        <is>
          <t>CCASA_Deposit.txt</t>
        </is>
      </c>
      <c r="E115" s="55" t="inlineStr">
        <is>
          <t>Report - Loan and Deposit Movement Report</t>
        </is>
      </c>
      <c r="G115" s="55" t="inlineStr">
        <is>
          <t>mary</t>
        </is>
      </c>
      <c r="I115" s="44" t="n">
        <v>156</v>
      </c>
      <c r="J115" s="55" t="inlineStr">
        <is>
          <t>Y</t>
        </is>
      </c>
    </row>
    <row r="116">
      <c r="A116" s="55">
        <f>A115+1</f>
        <v/>
      </c>
      <c r="B116" s="73" t="inlineStr">
        <is>
          <t>Report - Loan Roll-Over Report</t>
        </is>
      </c>
      <c r="C116" s="55" t="inlineStr">
        <is>
          <t>S:\Adhoc\Davin\ESPACE\EREPORT\ROLLOVER_DB</t>
        </is>
      </c>
      <c r="D116" s="55" t="inlineStr">
        <is>
          <t>$XX_Rollover_Run.txt</t>
        </is>
      </c>
      <c r="E116" s="55" t="inlineStr">
        <is>
          <t>Report - Loan Roll-Over Report</t>
        </is>
      </c>
      <c r="G116" s="55" t="inlineStr">
        <is>
          <t>mary</t>
        </is>
      </c>
      <c r="I116" s="44" t="n">
        <v>69</v>
      </c>
      <c r="J116" s="55" t="inlineStr">
        <is>
          <t>Y</t>
        </is>
      </c>
    </row>
    <row r="117">
      <c r="A117" s="55">
        <f>A116+1</f>
        <v/>
      </c>
      <c r="B117" s="73" t="inlineStr">
        <is>
          <t>Report - Loan Roll-Over Report</t>
        </is>
      </c>
      <c r="C117" s="55" t="inlineStr">
        <is>
          <t>S:\Adhoc\Davin\ESPACE\EREPORT\ROLLOVER_DB</t>
        </is>
      </c>
      <c r="D117" s="55" t="inlineStr">
        <is>
          <t>01_ROLLOVER_LOAD.txt</t>
        </is>
      </c>
      <c r="E117" s="55" t="inlineStr">
        <is>
          <t>Report - Loan Roll-Over Report</t>
        </is>
      </c>
      <c r="G117" s="55" t="inlineStr">
        <is>
          <t>mary</t>
        </is>
      </c>
      <c r="I117" s="44" t="n">
        <v>676</v>
      </c>
    </row>
    <row r="118">
      <c r="A118" s="55">
        <f>A117+1</f>
        <v/>
      </c>
      <c r="B118" s="73" t="inlineStr">
        <is>
          <t>Report - Loan Roll-Over Report</t>
        </is>
      </c>
      <c r="C118" s="55" t="inlineStr">
        <is>
          <t>S:\Adhoc\Davin\ESPACE\EREPORT\ROLLOVER_DB</t>
        </is>
      </c>
      <c r="D118" s="55" t="inlineStr">
        <is>
          <t>MBR_LOAN_NEW.txt</t>
        </is>
      </c>
      <c r="E118" s="55" t="inlineStr">
        <is>
          <t>Report - Loan Roll-Over Report</t>
        </is>
      </c>
      <c r="G118" s="55" t="inlineStr">
        <is>
          <t>mary</t>
        </is>
      </c>
      <c r="I118" s="44" t="n">
        <v>162</v>
      </c>
    </row>
    <row r="119">
      <c r="A119" s="55">
        <f>A118+1</f>
        <v/>
      </c>
      <c r="B119" s="73" t="inlineStr">
        <is>
          <t>Report - Loan Roll-Over Report</t>
        </is>
      </c>
      <c r="C119" s="55" t="inlineStr">
        <is>
          <t>S:\Adhoc\Davin\ESPACE\EREPORT\ROLLOVER_DB</t>
        </is>
      </c>
      <c r="D119" s="55" t="inlineStr">
        <is>
          <t>US_LOAN.txt</t>
        </is>
      </c>
      <c r="E119" s="55" t="inlineStr">
        <is>
          <t>Report - Loan Roll-Over Report</t>
        </is>
      </c>
      <c r="G119" s="55" t="inlineStr">
        <is>
          <t>mary</t>
        </is>
      </c>
      <c r="I119" s="44" t="n">
        <v>125</v>
      </c>
    </row>
    <row r="120">
      <c r="A120" s="55">
        <f>A119+1</f>
        <v/>
      </c>
      <c r="B120" s="73" t="inlineStr">
        <is>
          <t>Report - Loan Roll-Over Report</t>
        </is>
      </c>
      <c r="C120" s="55" t="inlineStr">
        <is>
          <t>S:\Adhoc\Davin\ESPACE\EREPORT\ROLLOVER_DB</t>
        </is>
      </c>
      <c r="D120" s="55" t="inlineStr">
        <is>
          <t>SG_LOAN_NEW.txt</t>
        </is>
      </c>
      <c r="E120" s="55" t="inlineStr">
        <is>
          <t>Report - Loan Roll-Over Report</t>
        </is>
      </c>
      <c r="G120" s="55" t="inlineStr">
        <is>
          <t>mary</t>
        </is>
      </c>
      <c r="I120" s="44" t="n">
        <v>153</v>
      </c>
    </row>
    <row r="121">
      <c r="A121" s="55">
        <f>A120+1</f>
        <v/>
      </c>
      <c r="B121" s="39" t="inlineStr">
        <is>
          <t>Report - Trade Loan Report</t>
        </is>
      </c>
      <c r="C121" s="55" t="inlineStr">
        <is>
          <t>S:\Adhoc\Davin\ESPACE\EREPORT\TRADE_LOAN_DB</t>
        </is>
      </c>
      <c r="D121" s="55" t="inlineStr">
        <is>
          <t>XX_TRADE_LOAN_EXTRACT.txt</t>
        </is>
      </c>
      <c r="E121" s="55" t="inlineStr">
        <is>
          <t>Report - Trade Loan Report</t>
        </is>
      </c>
      <c r="G121" s="55" t="inlineStr">
        <is>
          <t>mary</t>
        </is>
      </c>
      <c r="I121" s="44" t="n">
        <v>446</v>
      </c>
      <c r="J121" s="55" t="inlineStr">
        <is>
          <t>Y</t>
        </is>
      </c>
    </row>
    <row r="122">
      <c r="A122" s="55">
        <f>A121+1</f>
        <v/>
      </c>
      <c r="B122" s="39" t="inlineStr">
        <is>
          <t>Deposit Rate Indication</t>
        </is>
      </c>
      <c r="C122" s="55" t="inlineStr">
        <is>
          <t>S:\Adhoc\Davin\ESPACE\Regular_Report\Deposit_Campaign</t>
        </is>
      </c>
      <c r="D122" s="55" t="inlineStr">
        <is>
          <t>reset_date.txt</t>
        </is>
      </c>
      <c r="E122" s="55" t="inlineStr">
        <is>
          <t>Deposit Rate Indication</t>
        </is>
      </c>
      <c r="G122" s="55" t="inlineStr">
        <is>
          <t>mary</t>
        </is>
      </c>
      <c r="I122" s="44" t="n">
        <v>32</v>
      </c>
      <c r="J122" s="55" t="inlineStr">
        <is>
          <t>Y</t>
        </is>
      </c>
    </row>
    <row r="123">
      <c r="A123" s="55">
        <f>A122+1</f>
        <v/>
      </c>
      <c r="B123" s="39" t="inlineStr">
        <is>
          <t>Deposit Rate Indication</t>
        </is>
      </c>
      <c r="C123" s="55" t="inlineStr">
        <is>
          <t>S:\Adhoc\Davin\ESPACE\Regular_Report\Deposit_Campaign</t>
        </is>
      </c>
      <c r="D123" s="55" t="inlineStr">
        <is>
          <t>Deposit_Campaign_new.txt</t>
        </is>
      </c>
      <c r="E123" s="55" t="inlineStr">
        <is>
          <t>Deposit Rate Indication</t>
        </is>
      </c>
      <c r="G123" s="55" t="inlineStr">
        <is>
          <t>mary</t>
        </is>
      </c>
      <c r="I123" s="44" t="n">
        <v>1303</v>
      </c>
      <c r="J123" s="55" t="inlineStr">
        <is>
          <t>Y</t>
        </is>
      </c>
    </row>
    <row r="124">
      <c r="B124" s="41" t="n"/>
      <c r="C124" s="41" t="n"/>
      <c r="D124" s="41" t="n"/>
    </row>
    <row r="125">
      <c r="E125" s="55" t="n"/>
    </row>
    <row r="126">
      <c r="C126" s="43" t="inlineStr">
        <is>
          <t>Total Programs</t>
        </is>
      </c>
      <c r="D126" s="43" t="n">
        <v>122</v>
      </c>
    </row>
    <row r="127">
      <c r="I127" s="44">
        <f>SUM(I2:I123)</f>
        <v/>
      </c>
    </row>
  </sheetData>
  <autoFilter ref="A1:J123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topLeftCell="C1" zoomScale="70" zoomScaleNormal="70" workbookViewId="0">
      <pane ySplit="1" topLeftCell="A2" activePane="bottomLeft" state="frozen"/>
      <selection activeCell="A1" sqref="A1"/>
      <selection pane="bottomLeft" activeCell="B61" sqref="B61"/>
    </sheetView>
  </sheetViews>
  <sheetFormatPr baseColWidth="8" defaultColWidth="8.883333333333329" defaultRowHeight="14"/>
  <cols>
    <col width="8.66666666666667" customWidth="1" style="55" min="1" max="1"/>
    <col width="45" customWidth="1" style="55" min="2" max="2"/>
    <col width="66" customWidth="1" style="55" min="3" max="3"/>
    <col width="38.1083333333333" customWidth="1" style="55" min="4" max="4"/>
    <col width="73.6666666666667" customWidth="1" style="41" min="5" max="5"/>
    <col width="14.6666666666667" customWidth="1" style="55" min="6" max="6"/>
    <col width="35.3333333333333" customWidth="1" style="55" min="7" max="8"/>
    <col width="12.4416666666667" customWidth="1" style="55" min="9" max="9"/>
    <col width="24.4416666666667" customWidth="1" style="55" min="10" max="10"/>
    <col width="8.883333333333329" customWidth="1" style="55" min="11" max="16384"/>
  </cols>
  <sheetData>
    <row r="1" customFormat="1" s="36">
      <c r="A1" s="36" t="inlineStr">
        <is>
          <t>Item No.</t>
        </is>
      </c>
      <c r="B1" s="36" t="inlineStr">
        <is>
          <t>Task</t>
        </is>
      </c>
      <c r="C1" s="36" t="inlineStr">
        <is>
          <t>Path</t>
        </is>
      </c>
      <c r="D1" s="36" t="inlineStr">
        <is>
          <t>Program</t>
        </is>
      </c>
      <c r="E1" s="37" t="inlineStr">
        <is>
          <t>Comments</t>
        </is>
      </c>
      <c r="F1" s="36" t="inlineStr">
        <is>
          <t>is_Complicated</t>
        </is>
      </c>
      <c r="G1" s="36" t="inlineStr">
        <is>
          <t>XX Program owner (josh/mary)</t>
        </is>
      </c>
      <c r="H1" s="36" t="inlineStr">
        <is>
          <t>Associated data table names</t>
        </is>
      </c>
      <c r="I1" s="36" t="inlineStr">
        <is>
          <t>Row in XX</t>
        </is>
      </c>
      <c r="J1" s="21" t="inlineStr">
        <is>
          <t>Main Program Indicator</t>
        </is>
      </c>
    </row>
    <row r="2">
      <c r="A2" s="55" t="n">
        <v>1</v>
      </c>
      <c r="B2" s="55" t="inlineStr">
        <is>
          <t>Report - Loan and Deposit Average Balances</t>
        </is>
      </c>
      <c r="C2" s="55" t="inlineStr">
        <is>
          <t>S:\Adhoc\Davin\ESPACE\EREPORT\AVGBAL_DB\Program\base XX programs</t>
        </is>
      </c>
      <c r="D2" s="55" t="inlineStr">
        <is>
          <t>$XX_Avgbal_Run.txt</t>
        </is>
      </c>
      <c r="E2" s="55" t="inlineStr">
        <is>
          <t>Report - Loan and Deposit Average Balances</t>
        </is>
      </c>
      <c r="F2" s="32" t="n"/>
      <c r="G2" s="55" t="inlineStr">
        <is>
          <t>mary</t>
        </is>
      </c>
      <c r="I2" s="55" t="n">
        <v>18</v>
      </c>
      <c r="J2" s="55" t="inlineStr">
        <is>
          <t>Y</t>
        </is>
      </c>
    </row>
    <row r="3">
      <c r="A3" s="55">
        <f>A2+1</f>
        <v/>
      </c>
      <c r="B3" s="55" t="inlineStr">
        <is>
          <t>Report - Treasury Shadow Income and Turnover Report</t>
        </is>
      </c>
      <c r="C3" s="55" t="inlineStr">
        <is>
          <t>S:\Adhoc\Davin\ESPACE\EREPORT\TREASHADOW_DB\base XX programs</t>
        </is>
      </c>
      <c r="D3" s="55" t="inlineStr">
        <is>
          <t>$XX_Get_Customer_X_Rm.txt</t>
        </is>
      </c>
      <c r="E3" s="55" t="inlineStr">
        <is>
          <t>Report - Treasury Shadow Income and Turnover Report</t>
        </is>
      </c>
      <c r="F3" s="32" t="n"/>
      <c r="G3" s="55" t="inlineStr">
        <is>
          <t>mary</t>
        </is>
      </c>
      <c r="I3" s="55" t="n">
        <v>89</v>
      </c>
      <c r="J3" s="55" t="inlineStr">
        <is>
          <t>Y</t>
        </is>
      </c>
    </row>
    <row r="4">
      <c r="A4" s="55">
        <f>A3+1</f>
        <v/>
      </c>
      <c r="B4" s="38" t="inlineStr">
        <is>
          <t>Report - Revenue Report</t>
        </is>
      </c>
      <c r="C4" s="55" t="inlineStr">
        <is>
          <t>S:\Adhoc\Davin\ESPACE\EREPORT\REVENUE_DB\Program</t>
        </is>
      </c>
      <c r="D4" s="55" t="inlineStr">
        <is>
          <t>$XX_Get_Revenue_HK.txt</t>
        </is>
      </c>
      <c r="E4" s="55" t="inlineStr">
        <is>
          <t>Report - Revenue Report</t>
        </is>
      </c>
      <c r="F4" s="32" t="n"/>
      <c r="G4" s="55" t="inlineStr">
        <is>
          <t>mary</t>
        </is>
      </c>
      <c r="I4" s="55" t="n">
        <v>149</v>
      </c>
      <c r="J4" s="55" t="inlineStr">
        <is>
          <t>Y</t>
        </is>
      </c>
    </row>
    <row r="5">
      <c r="A5" s="55">
        <f>A4+1</f>
        <v/>
      </c>
      <c r="C5" s="55" t="inlineStr">
        <is>
          <t>S:\Adhoc\Davin\ESPACE\EREPORT\REVENUE_DB\Program</t>
        </is>
      </c>
      <c r="D5" s="55" t="inlineStr">
        <is>
          <t>$XX_Get_Revenue_LA.txt</t>
        </is>
      </c>
      <c r="E5" s="55" t="inlineStr">
        <is>
          <t>Report - Revenue Report</t>
        </is>
      </c>
      <c r="F5" s="32" t="n"/>
      <c r="G5" s="55" t="inlineStr">
        <is>
          <t>mary</t>
        </is>
      </c>
      <c r="I5" s="55" t="n">
        <v>89</v>
      </c>
      <c r="J5" s="55" t="inlineStr">
        <is>
          <t>Y</t>
        </is>
      </c>
    </row>
    <row r="6">
      <c r="A6" s="55">
        <f>A5+1</f>
        <v/>
      </c>
      <c r="C6" s="55" t="inlineStr">
        <is>
          <t>S:\Adhoc\Davin\ESPACE\EREPORT\REVENUE_DB\Program</t>
        </is>
      </c>
      <c r="D6" s="55" t="inlineStr">
        <is>
          <t>$XX_Get_Revenue_MO.txt</t>
        </is>
      </c>
      <c r="E6" s="55" t="inlineStr">
        <is>
          <t>Report - Revenue Report</t>
        </is>
      </c>
      <c r="F6" s="32" t="n"/>
      <c r="G6" s="55" t="inlineStr">
        <is>
          <t>mary</t>
        </is>
      </c>
      <c r="I6" s="55" t="n">
        <v>89</v>
      </c>
      <c r="J6" s="55" t="inlineStr">
        <is>
          <t>Y</t>
        </is>
      </c>
    </row>
    <row r="7">
      <c r="A7" s="55">
        <f>A6+1</f>
        <v/>
      </c>
      <c r="C7" s="55" t="inlineStr">
        <is>
          <t>S:\Adhoc\Davin\ESPACE\EREPORT\REVENUE_DB\Program</t>
        </is>
      </c>
      <c r="D7" s="55" t="inlineStr">
        <is>
          <t>$XX_Get_Revenue_NY.txt</t>
        </is>
      </c>
      <c r="E7" s="55" t="inlineStr">
        <is>
          <t>Report - Revenue Report</t>
        </is>
      </c>
      <c r="F7" s="32" t="n"/>
      <c r="G7" s="55" t="inlineStr">
        <is>
          <t>mary</t>
        </is>
      </c>
      <c r="I7" s="55" t="n">
        <v>89</v>
      </c>
      <c r="J7" s="55" t="inlineStr">
        <is>
          <t>Y</t>
        </is>
      </c>
    </row>
    <row r="8">
      <c r="A8" s="55">
        <f>A7+1</f>
        <v/>
      </c>
      <c r="C8" s="55" t="inlineStr">
        <is>
          <t>S:\Adhoc\Davin\ESPACE\EREPORT\REVENUE_DB\Program</t>
        </is>
      </c>
      <c r="D8" s="55" t="inlineStr">
        <is>
          <t>$XX_Get_Revenue_SG.txt</t>
        </is>
      </c>
      <c r="E8" s="55" t="inlineStr">
        <is>
          <t>Report - Revenue Report</t>
        </is>
      </c>
      <c r="F8" s="32" t="n"/>
      <c r="G8" s="55" t="inlineStr">
        <is>
          <t>mary</t>
        </is>
      </c>
      <c r="I8" s="55" t="n">
        <v>92</v>
      </c>
      <c r="J8" s="55" t="inlineStr">
        <is>
          <t>Y</t>
        </is>
      </c>
    </row>
    <row r="9">
      <c r="A9" s="55">
        <f>A8+1</f>
        <v/>
      </c>
      <c r="B9" s="55" t="inlineStr">
        <is>
          <t>Report - RM Balanced Scorecard</t>
        </is>
      </c>
      <c r="C9" s="55" t="inlineStr">
        <is>
          <t>S:\Adhoc\Davin\ESPACE\EREPORT\REVENUE_DB\Program</t>
        </is>
      </c>
      <c r="D9" s="55" t="inlineStr">
        <is>
          <t>$XX_rm_kpi_rpt_hk_2025.txt</t>
        </is>
      </c>
      <c r="E9" s="55" t="inlineStr">
        <is>
          <t>Report - RM Balanced Scorecard  (RM Balanced Scorecard will rewrite every year)</t>
        </is>
      </c>
      <c r="F9" s="32" t="n"/>
      <c r="G9" s="55" t="inlineStr">
        <is>
          <t>mary</t>
        </is>
      </c>
      <c r="I9" s="55" t="n">
        <v>1016</v>
      </c>
      <c r="J9" s="55" t="inlineStr">
        <is>
          <t>Y</t>
        </is>
      </c>
    </row>
    <row r="10">
      <c r="A10" s="55">
        <f>A9+1</f>
        <v/>
      </c>
      <c r="B10" s="55" t="inlineStr">
        <is>
          <t>Report - Treasury Shadow Income and Turnover Report</t>
        </is>
      </c>
      <c r="C10" s="55" t="inlineStr">
        <is>
          <t>S:\Adhoc\Davin\ESPACE\EREPORT\TREASHADOW_DB\base XX programs</t>
        </is>
      </c>
      <c r="D10" s="55" t="inlineStr">
        <is>
          <t>$XX_treasury_shadow_income.txt</t>
        </is>
      </c>
      <c r="E10" s="55" t="inlineStr">
        <is>
          <t>Report - Treasury Shadow Income and Turnover Report</t>
        </is>
      </c>
      <c r="F10" s="32" t="n"/>
      <c r="G10" s="55" t="inlineStr">
        <is>
          <t>mary</t>
        </is>
      </c>
      <c r="I10" s="55" t="n">
        <v>141</v>
      </c>
      <c r="J10" s="55" t="inlineStr">
        <is>
          <t>Y</t>
        </is>
      </c>
    </row>
    <row r="11">
      <c r="A11" s="55">
        <f>A10+1</f>
        <v/>
      </c>
      <c r="B11" s="55" t="inlineStr">
        <is>
          <t>Report - Loan and Deposit Average Balances</t>
        </is>
      </c>
      <c r="C11" s="55" t="inlineStr">
        <is>
          <t>S:\Adhoc\Davin\ESPACE\EREPORT\AVGBAL_DB\Program\base XX programs</t>
        </is>
      </c>
      <c r="D11" s="55" t="inlineStr">
        <is>
          <t>00_Format_Creation.txt</t>
        </is>
      </c>
      <c r="E11" s="55" t="inlineStr">
        <is>
          <t>Report - Loan and Deposit Average Balances</t>
        </is>
      </c>
      <c r="F11" s="32" t="n"/>
      <c r="G11" s="55" t="inlineStr">
        <is>
          <t>mary</t>
        </is>
      </c>
      <c r="I11" s="55" t="n">
        <v>136</v>
      </c>
    </row>
    <row r="12">
      <c r="A12" s="55">
        <f>A11+1</f>
        <v/>
      </c>
      <c r="B12" s="55" t="inlineStr">
        <is>
          <t>Report - Loan and Deposit Average Balances</t>
        </is>
      </c>
      <c r="C12" s="55" t="inlineStr">
        <is>
          <t>S:\Adhoc\Davin\ESPACE\EREPORT\AVGBAL_DB\Program\base XX programs</t>
        </is>
      </c>
      <c r="D12" s="55" t="inlineStr">
        <is>
          <t>01_Source.txt</t>
        </is>
      </c>
      <c r="E12" s="55" t="inlineStr">
        <is>
          <t>Report - Loan and Deposit Average Balances</t>
        </is>
      </c>
      <c r="F12" s="32" t="n"/>
      <c r="G12" s="55" t="inlineStr">
        <is>
          <t>mary</t>
        </is>
      </c>
      <c r="I12" s="55" t="n">
        <v>566</v>
      </c>
    </row>
    <row r="13">
      <c r="A13" s="55">
        <f>A12+1</f>
        <v/>
      </c>
      <c r="B13" s="55" t="inlineStr">
        <is>
          <t>Report - Loan and Deposit Average Balances</t>
        </is>
      </c>
      <c r="C13" s="55" t="inlineStr">
        <is>
          <t>S:\Adhoc\Davin\ESPACE\EREPORT\AVGBAL_DB\Program\base XX programs</t>
        </is>
      </c>
      <c r="D13" s="55" t="inlineStr">
        <is>
          <t>02_Outdata.txt</t>
        </is>
      </c>
      <c r="E13" s="55" t="inlineStr">
        <is>
          <t>Report - Loan and Deposit Average Balances</t>
        </is>
      </c>
      <c r="F13" s="32" t="n"/>
      <c r="G13" s="55" t="inlineStr">
        <is>
          <t>mary</t>
        </is>
      </c>
      <c r="I13" s="55" t="n">
        <v>74</v>
      </c>
    </row>
    <row r="14">
      <c r="A14" s="55">
        <f>A13+1</f>
        <v/>
      </c>
      <c r="B14" s="55" t="inlineStr">
        <is>
          <t>Average Balance Analysis</t>
        </is>
      </c>
      <c r="C14" s="55" t="inlineStr">
        <is>
          <t>S:\Revenue by RM\Report\Analysis\</t>
        </is>
      </c>
      <c r="D14" s="55" t="inlineStr">
        <is>
          <t>Average_Balance_Analysis.txt</t>
        </is>
      </c>
      <c r="E14" s="41" t="inlineStr">
        <is>
          <t>Average balance analysis (current, previous, YTD and rolling 12 months)</t>
        </is>
      </c>
      <c r="G14" s="55" t="inlineStr">
        <is>
          <t>josh</t>
        </is>
      </c>
      <c r="I14" s="55" t="n">
        <v>477</v>
      </c>
      <c r="J14" s="55" t="inlineStr">
        <is>
          <t>Y</t>
        </is>
      </c>
    </row>
    <row r="15">
      <c r="A15" s="55">
        <f>A14+1</f>
        <v/>
      </c>
      <c r="B15" s="55" t="inlineStr">
        <is>
          <t>Report - Revenue Report</t>
        </is>
      </c>
      <c r="C15" s="55" t="inlineStr">
        <is>
          <t>S:\Adhoc\Davin\ESPACE\EREPORT\REVENUE_DB\Program</t>
        </is>
      </c>
      <c r="D15" s="55" t="inlineStr">
        <is>
          <t>Avg_Normal_CASA_HK.txt</t>
        </is>
      </c>
      <c r="E15" s="55" t="inlineStr">
        <is>
          <t>Report - Revenue Report</t>
        </is>
      </c>
      <c r="F15" s="32" t="n"/>
      <c r="G15" s="55" t="inlineStr">
        <is>
          <t>mary</t>
        </is>
      </c>
      <c r="I15" s="55" t="n">
        <v>83</v>
      </c>
    </row>
    <row r="16">
      <c r="A16" s="55">
        <f>A15+1</f>
        <v/>
      </c>
      <c r="B16" s="55" t="inlineStr">
        <is>
          <t>Bills Commission</t>
        </is>
      </c>
      <c r="C16" s="55" t="inlineStr">
        <is>
          <t>S:\Revenue by RM\Report\Analysis\</t>
        </is>
      </c>
      <c r="D16" s="55" t="inlineStr">
        <is>
          <t>Bill_Commission_and_Interest.txt</t>
        </is>
      </c>
      <c r="E16" s="41" t="inlineStr">
        <is>
          <t>Monthly Bills Commission report</t>
        </is>
      </c>
      <c r="G16" s="55" t="inlineStr">
        <is>
          <t>josh</t>
        </is>
      </c>
      <c r="I16" s="55" t="n">
        <v>361</v>
      </c>
      <c r="J16" s="55" t="inlineStr">
        <is>
          <t>Y</t>
        </is>
      </c>
    </row>
    <row r="17">
      <c r="A17" s="55">
        <f>A16+1</f>
        <v/>
      </c>
      <c r="B17" s="55" t="inlineStr">
        <is>
          <t>Bills Commission with Turnover</t>
        </is>
      </c>
      <c r="C17" s="55" t="inlineStr">
        <is>
          <t>S:\Revenue by RM\Report\Analysis\</t>
        </is>
      </c>
      <c r="D17" s="55" t="inlineStr">
        <is>
          <t>Bill_Commission_Turnover.txt</t>
        </is>
      </c>
      <c r="E17" s="41" t="inlineStr">
        <is>
          <t>Monthly Bills Commission &amp; Turnover report</t>
        </is>
      </c>
      <c r="G17" s="55" t="inlineStr">
        <is>
          <t>josh</t>
        </is>
      </c>
      <c r="I17" s="55" t="n">
        <v>293</v>
      </c>
      <c r="J17" s="55" t="inlineStr">
        <is>
          <t>Y</t>
        </is>
      </c>
    </row>
    <row r="18">
      <c r="A18" s="55">
        <f>A17+1</f>
        <v/>
      </c>
      <c r="B18" s="55" t="inlineStr">
        <is>
          <t>Bills Commission Waiver</t>
        </is>
      </c>
      <c r="C18" s="55" t="inlineStr">
        <is>
          <t>S:\Revenue by RM\Report\Analysis\</t>
        </is>
      </c>
      <c r="D18" s="55" t="inlineStr">
        <is>
          <t>Bill_Commission_Waiver.txt</t>
        </is>
      </c>
      <c r="E18" s="41" t="inlineStr">
        <is>
          <t>Compare the system default commission and actual commission received</t>
        </is>
      </c>
      <c r="G18" s="55" t="inlineStr">
        <is>
          <t>josh</t>
        </is>
      </c>
      <c r="I18" s="55" t="n">
        <v>259</v>
      </c>
      <c r="J18" s="55" t="inlineStr">
        <is>
          <t>Y</t>
        </is>
      </c>
    </row>
    <row r="19">
      <c r="A19" s="55">
        <f>A18+1</f>
        <v/>
      </c>
      <c r="B19" s="55" t="inlineStr">
        <is>
          <t>Bills Turnover Trend</t>
        </is>
      </c>
      <c r="C19" s="55" t="inlineStr">
        <is>
          <t>S:\Revenue by RM\Report\Analysis\</t>
        </is>
      </c>
      <c r="D19" s="55" t="inlineStr">
        <is>
          <t>Bill_Turnover_Trend.txt</t>
        </is>
      </c>
      <c r="E19" s="41" t="inlineStr">
        <is>
          <t>Monthly trend of Bills Turnover report</t>
        </is>
      </c>
      <c r="G19" s="55" t="inlineStr">
        <is>
          <t>josh</t>
        </is>
      </c>
      <c r="I19" s="55" t="n">
        <v>403</v>
      </c>
      <c r="J19" s="55" t="inlineStr">
        <is>
          <t>Y</t>
        </is>
      </c>
    </row>
    <row r="20">
      <c r="A20" s="55">
        <f>A19+1</f>
        <v/>
      </c>
      <c r="B20" s="55" t="inlineStr">
        <is>
          <t>Report - Bills Asset and Turnover Report</t>
        </is>
      </c>
      <c r="C20" s="55" t="inlineStr">
        <is>
          <t>S:\Adhoc\Davin\ESPACE\EREPORT\BILLS_TURNOVER_ASSEST</t>
        </is>
      </c>
      <c r="D20" s="55" t="inlineStr">
        <is>
          <t>Bills_Asset_Trend.txt</t>
        </is>
      </c>
      <c r="E20" s="55" t="inlineStr">
        <is>
          <t>Report - Loan and Deposit Average Balances</t>
        </is>
      </c>
      <c r="F20" s="32" t="n"/>
      <c r="G20" s="55" t="inlineStr">
        <is>
          <t>mary</t>
        </is>
      </c>
      <c r="I20" s="55" t="n">
        <v>163</v>
      </c>
    </row>
    <row r="21">
      <c r="A21" s="55">
        <f>A20+1</f>
        <v/>
      </c>
      <c r="B21" s="55" t="inlineStr">
        <is>
          <t>Report - Bills Asset and Turnover Report</t>
        </is>
      </c>
      <c r="C21" s="55" t="inlineStr">
        <is>
          <t>S:\Adhoc\Davin\ESPACE\EREPORT\BILLS_TURNOVER_ASSEST</t>
        </is>
      </c>
      <c r="D21" s="55" t="inlineStr">
        <is>
          <t>Bills_Commission_turnover.txt</t>
        </is>
      </c>
      <c r="E21" s="55" t="inlineStr">
        <is>
          <t>Report - Bills Asset and Turnover Report</t>
        </is>
      </c>
      <c r="F21" s="32" t="n"/>
      <c r="G21" s="55" t="inlineStr">
        <is>
          <t>mary</t>
        </is>
      </c>
      <c r="I21" s="55" t="n">
        <v>216</v>
      </c>
    </row>
    <row r="22">
      <c r="A22" s="55">
        <f>A21+1</f>
        <v/>
      </c>
      <c r="B22" s="55" t="inlineStr">
        <is>
          <t>Report - Bills Asset and Turnover Report</t>
        </is>
      </c>
      <c r="C22" s="55" t="inlineStr">
        <is>
          <t>S:\Adhoc\Davin\ESPACE\EREPORT\BILLS_TURNOVER_ASSEST</t>
        </is>
      </c>
      <c r="D22" s="55" t="inlineStr">
        <is>
          <t>bills_full_run.txt</t>
        </is>
      </c>
      <c r="E22" s="55" t="inlineStr">
        <is>
          <t>Report - Bills Asset and Turnover Report</t>
        </is>
      </c>
      <c r="F22" s="32" t="n"/>
      <c r="G22" s="55" t="inlineStr">
        <is>
          <t>mary</t>
        </is>
      </c>
      <c r="I22" s="55" t="n">
        <v>121</v>
      </c>
      <c r="J22" s="55" t="inlineStr">
        <is>
          <t>Y</t>
        </is>
      </c>
    </row>
    <row r="23">
      <c r="A23" s="55">
        <f>A22+1</f>
        <v/>
      </c>
      <c r="B23" s="55" t="inlineStr">
        <is>
          <t>Report - Bills Asset and Turnover Report</t>
        </is>
      </c>
      <c r="C23" s="55" t="inlineStr">
        <is>
          <t>S:\Adhoc\Davin\ESPACE\EREPORT\BILLS_TURNOVER_ASSEST</t>
        </is>
      </c>
      <c r="D23" s="55" t="inlineStr">
        <is>
          <t>Bills_Limit.txt</t>
        </is>
      </c>
      <c r="E23" s="55" t="inlineStr">
        <is>
          <t>Report - Bills Asset and Turnover Report</t>
        </is>
      </c>
      <c r="F23" s="32" t="n"/>
      <c r="G23" s="55" t="inlineStr">
        <is>
          <t>mary</t>
        </is>
      </c>
      <c r="I23" s="55" t="n">
        <v>110</v>
      </c>
    </row>
    <row r="24">
      <c r="A24" s="55">
        <f>A23+1</f>
        <v/>
      </c>
      <c r="B24" s="55" t="inlineStr">
        <is>
          <t>Report - CA Line Usage and Revenue Report</t>
        </is>
      </c>
      <c r="C24" s="55" t="inlineStr">
        <is>
          <t>S:\Adhoc\Davin\ESPACE\EREPORT\CA_DB</t>
        </is>
      </c>
      <c r="D24" s="55" t="inlineStr">
        <is>
          <t>ca_bal_summary.txt</t>
        </is>
      </c>
      <c r="E24" s="55" t="inlineStr">
        <is>
          <t>Report - CA Line Usage and Revenue Report</t>
        </is>
      </c>
      <c r="F24" s="32" t="n"/>
      <c r="G24" s="55" t="inlineStr">
        <is>
          <t>mary</t>
        </is>
      </c>
      <c r="I24" s="55" t="n">
        <v>204</v>
      </c>
      <c r="J24" s="55" t="inlineStr">
        <is>
          <t>Y</t>
        </is>
      </c>
    </row>
    <row r="25" ht="28" customHeight="1" s="57">
      <c r="A25" s="55">
        <f>A24+1</f>
        <v/>
      </c>
      <c r="B25" s="41" t="inlineStr">
        <is>
          <t>Trend report for CASA Premium, LC Refinance &amp; Operational Deposit</t>
        </is>
      </c>
      <c r="C25" s="55" t="inlineStr">
        <is>
          <t>S:\Revenue by RM\Report\Analysis\</t>
        </is>
      </c>
      <c r="D25" s="55" t="inlineStr">
        <is>
          <t>CASA_Premium_LC_Refinance_Trend.txt</t>
        </is>
      </c>
      <c r="E25" s="41" t="inlineStr">
        <is>
          <t>Trend report for CASA Premium, LC Refinance &amp; Operational Deposit</t>
        </is>
      </c>
      <c r="G25" s="55" t="inlineStr">
        <is>
          <t>josh</t>
        </is>
      </c>
      <c r="I25" s="55" t="n">
        <v>212</v>
      </c>
      <c r="J25" s="55" t="inlineStr">
        <is>
          <t>Y</t>
        </is>
      </c>
    </row>
    <row r="26">
      <c r="A26" s="55">
        <f>A25+1</f>
        <v/>
      </c>
      <c r="B26" s="55" t="inlineStr">
        <is>
          <t>ABC &amp; CITIC Referral Report</t>
        </is>
      </c>
      <c r="C26" s="55" t="inlineStr">
        <is>
          <t>S:\Revenue by RM\Report\Analysis\</t>
        </is>
      </c>
      <c r="D26" s="55" t="inlineStr">
        <is>
          <t>ABC_CITIC_Referral.txt</t>
        </is>
      </c>
      <c r="E26" s="55" t="inlineStr">
        <is>
          <t>ABC &amp; CITIC Referral Report</t>
        </is>
      </c>
      <c r="G26" s="55" t="inlineStr">
        <is>
          <t>josh</t>
        </is>
      </c>
      <c r="I26" s="55" t="n">
        <v>2606</v>
      </c>
      <c r="J26" s="55" t="inlineStr">
        <is>
          <t>Y</t>
        </is>
      </c>
    </row>
    <row r="27">
      <c r="A27" s="55">
        <f>A26+1</f>
        <v/>
      </c>
      <c r="B27" s="55" t="inlineStr">
        <is>
          <t>ABC KPI</t>
        </is>
      </c>
      <c r="C27" s="55" t="inlineStr">
        <is>
          <t>S:\Revenue by RM\Report\Analysis\</t>
        </is>
      </c>
      <c r="D27" s="55" t="inlineStr">
        <is>
          <t>ABC_KPI_Report.txt</t>
        </is>
      </c>
      <c r="E27" s="41" t="inlineStr">
        <is>
          <t>Data for ABC KPI</t>
        </is>
      </c>
      <c r="G27" s="55" t="inlineStr">
        <is>
          <t>josh</t>
        </is>
      </c>
      <c r="I27" s="55" t="n">
        <v>385</v>
      </c>
      <c r="J27" s="55" t="inlineStr">
        <is>
          <t>Y</t>
        </is>
      </c>
    </row>
    <row r="28">
      <c r="A28" s="55">
        <f>A27+1</f>
        <v/>
      </c>
      <c r="B28" s="55" t="inlineStr">
        <is>
          <t>ABC New Loan Drawdown Report</t>
        </is>
      </c>
      <c r="C28" s="55" t="inlineStr">
        <is>
          <t>S:\Revenue by RM\Report\Analysis\</t>
        </is>
      </c>
      <c r="D28" s="55" t="inlineStr">
        <is>
          <t>ABC_New_Loan_Drawdown.txt</t>
        </is>
      </c>
      <c r="E28" s="41" t="inlineStr">
        <is>
          <t>New loan drawdown related to ABC</t>
        </is>
      </c>
      <c r="G28" s="55" t="inlineStr">
        <is>
          <t>josh</t>
        </is>
      </c>
      <c r="I28" s="55" t="n">
        <v>390</v>
      </c>
      <c r="J28" s="55" t="inlineStr">
        <is>
          <t>Y</t>
        </is>
      </c>
    </row>
    <row r="29">
      <c r="A29" s="55">
        <f>A28+1</f>
        <v/>
      </c>
      <c r="B29" s="55" t="inlineStr">
        <is>
          <t>ABC &amp; CITIC Checking</t>
        </is>
      </c>
      <c r="C29" s="55" t="inlineStr">
        <is>
          <t>S:\Revenue by RM\Report\Analysis\</t>
        </is>
      </c>
      <c r="D29" s="55" t="inlineStr">
        <is>
          <t>ABC_Reconciliation.txt</t>
        </is>
      </c>
      <c r="E29" s="41" t="inlineStr">
        <is>
          <t>Checking the ABC revenue against with MPR</t>
        </is>
      </c>
      <c r="G29" s="55" t="inlineStr">
        <is>
          <t>josh</t>
        </is>
      </c>
      <c r="I29" s="55" t="n">
        <v>159</v>
      </c>
      <c r="J29" s="55" t="inlineStr">
        <is>
          <t>Y</t>
        </is>
      </c>
    </row>
    <row r="30">
      <c r="A30" s="55">
        <f>A29+1</f>
        <v/>
      </c>
      <c r="B30" s="55" t="inlineStr">
        <is>
          <t>Commission FX Report</t>
        </is>
      </c>
      <c r="C30" s="55" t="inlineStr">
        <is>
          <t>S:\Revenue by RM\Report\Analysis\</t>
        </is>
      </c>
      <c r="D30" s="55" t="inlineStr">
        <is>
          <t>Commission_FX.txt</t>
        </is>
      </c>
      <c r="E30" s="41" t="inlineStr">
        <is>
          <t>Monthly Commission FX report</t>
        </is>
      </c>
      <c r="G30" s="55" t="inlineStr">
        <is>
          <t>josh</t>
        </is>
      </c>
      <c r="I30" s="55" t="n">
        <v>165</v>
      </c>
      <c r="J30" s="55" t="inlineStr">
        <is>
          <t>Y</t>
        </is>
      </c>
    </row>
    <row r="31">
      <c r="A31" s="55">
        <f>A30+1</f>
        <v/>
      </c>
      <c r="B31" s="55" t="inlineStr">
        <is>
          <t>Report - Corporate Account with Tiered Interest Rate</t>
        </is>
      </c>
      <c r="C31" s="55" t="inlineStr">
        <is>
          <t>S:\Adhoc\Davin\ESPACE\EREPORT\Corp_Prem_DB</t>
        </is>
      </c>
      <c r="D31" s="55" t="inlineStr">
        <is>
          <t>Corp_Prem_Rolling.txt</t>
        </is>
      </c>
      <c r="E31" s="55" t="inlineStr">
        <is>
          <t>Report - Corporate Account with Tiered Interest Rate</t>
        </is>
      </c>
      <c r="F31" s="32" t="n"/>
      <c r="G31" s="55" t="inlineStr">
        <is>
          <t>mary</t>
        </is>
      </c>
      <c r="I31" s="55" t="n">
        <v>478</v>
      </c>
      <c r="J31" s="55" t="inlineStr">
        <is>
          <t>Y</t>
        </is>
      </c>
    </row>
    <row r="32">
      <c r="A32" s="55">
        <f>A31+1</f>
        <v/>
      </c>
      <c r="B32" s="55" t="inlineStr">
        <is>
          <t>CPR Checking</t>
        </is>
      </c>
      <c r="C32" s="55" t="inlineStr">
        <is>
          <t>S:\Revenue by RM\Program</t>
        </is>
      </c>
      <c r="D32" s="55" t="inlineStr">
        <is>
          <t>CPR_vs_MPR ver4.txt</t>
        </is>
      </c>
      <c r="E32" s="41" t="inlineStr">
        <is>
          <t>Check the discrepancy between CPR &amp; MPR before CPR generation</t>
        </is>
      </c>
      <c r="G32" s="55" t="inlineStr">
        <is>
          <t>josh</t>
        </is>
      </c>
      <c r="I32" s="55" t="n">
        <v>378</v>
      </c>
      <c r="J32" s="55" t="inlineStr">
        <is>
          <t>Y</t>
        </is>
      </c>
    </row>
    <row r="33">
      <c r="A33" s="55">
        <f>A32+1</f>
        <v/>
      </c>
      <c r="B33" s="38" t="inlineStr">
        <is>
          <t>CRM Revenue Report</t>
        </is>
      </c>
      <c r="C33" s="55" t="inlineStr">
        <is>
          <t>S:\Adhoc\Davin\ESPACE\Regular_Report\CRM_Revenue</t>
        </is>
      </c>
      <c r="D33" s="55" t="inlineStr">
        <is>
          <t>crm_revenue_hk.txt</t>
        </is>
      </c>
      <c r="E33" s="55" t="inlineStr">
        <is>
          <t>CRM Revenue Report</t>
        </is>
      </c>
      <c r="G33" s="55" t="inlineStr">
        <is>
          <t>mary</t>
        </is>
      </c>
      <c r="I33" s="55" t="n">
        <v>381</v>
      </c>
      <c r="J33" s="55" t="inlineStr">
        <is>
          <t>Y</t>
        </is>
      </c>
    </row>
    <row r="34">
      <c r="A34" s="55">
        <f>A33+1</f>
        <v/>
      </c>
      <c r="C34" s="55" t="inlineStr">
        <is>
          <t>S:\Adhoc\Davin\ESPACE\Regular_Report\CRM_Revenue</t>
        </is>
      </c>
      <c r="D34" s="55" t="inlineStr">
        <is>
          <t>crm_revenue_la.txt</t>
        </is>
      </c>
      <c r="E34" s="55" t="inlineStr">
        <is>
          <t>CRM Revenue Report</t>
        </is>
      </c>
      <c r="G34" s="55" t="inlineStr">
        <is>
          <t>mary</t>
        </is>
      </c>
      <c r="I34" s="55" t="n">
        <v>359</v>
      </c>
      <c r="J34" s="55" t="inlineStr">
        <is>
          <t>Y</t>
        </is>
      </c>
    </row>
    <row r="35">
      <c r="A35" s="55">
        <f>A34+1</f>
        <v/>
      </c>
      <c r="C35" s="55" t="inlineStr">
        <is>
          <t>S:\Adhoc\Davin\ESPACE\Regular_Report\CRM_Revenue</t>
        </is>
      </c>
      <c r="D35" s="55" t="inlineStr">
        <is>
          <t>crm_revenue_mo.txt</t>
        </is>
      </c>
      <c r="E35" s="55" t="inlineStr">
        <is>
          <t>CRM Revenue Report</t>
        </is>
      </c>
      <c r="G35" s="55" t="inlineStr">
        <is>
          <t>mary</t>
        </is>
      </c>
      <c r="I35" s="55" t="n">
        <v>387</v>
      </c>
      <c r="J35" s="55" t="inlineStr">
        <is>
          <t>Y</t>
        </is>
      </c>
    </row>
    <row r="36">
      <c r="A36" s="55">
        <f>A35+1</f>
        <v/>
      </c>
      <c r="C36" s="55" t="inlineStr">
        <is>
          <t>S:\Adhoc\Davin\ESPACE\Regular_Report\CRM_Revenue</t>
        </is>
      </c>
      <c r="D36" s="55" t="inlineStr">
        <is>
          <t>crm_revenue_ny.txt</t>
        </is>
      </c>
      <c r="E36" s="55" t="inlineStr">
        <is>
          <t>CRM Revenue Report</t>
        </is>
      </c>
      <c r="G36" s="55" t="inlineStr">
        <is>
          <t>mary</t>
        </is>
      </c>
      <c r="I36" s="55" t="n">
        <v>379</v>
      </c>
      <c r="J36" s="55" t="inlineStr">
        <is>
          <t>Y</t>
        </is>
      </c>
    </row>
    <row r="37">
      <c r="A37" s="55">
        <f>A36+1</f>
        <v/>
      </c>
      <c r="C37" s="55" t="inlineStr">
        <is>
          <t>S:\Adhoc\Davin\ESPACE\Regular_Report\CRM_Revenue</t>
        </is>
      </c>
      <c r="D37" s="55" t="inlineStr">
        <is>
          <t>crm_revenue_sg.txt</t>
        </is>
      </c>
      <c r="E37" s="55" t="inlineStr">
        <is>
          <t>CRM Revenue Report</t>
        </is>
      </c>
      <c r="G37" s="55" t="inlineStr">
        <is>
          <t>mary</t>
        </is>
      </c>
      <c r="I37" s="55" t="n">
        <v>401</v>
      </c>
      <c r="J37" s="55" t="inlineStr">
        <is>
          <t>Y</t>
        </is>
      </c>
    </row>
    <row r="38">
      <c r="A38" s="55">
        <f>A37+1</f>
        <v/>
      </c>
      <c r="B38" s="55" t="inlineStr">
        <is>
          <t>CRM Call Report - 优化管理客户拜访</t>
        </is>
      </c>
      <c r="C38" s="55" t="inlineStr">
        <is>
          <t>S:\Adhoc\Davin\ESPACE\Regular_Report\CRM_Top_Customer</t>
        </is>
      </c>
      <c r="D38" s="55" t="inlineStr">
        <is>
          <t>crm_top_customer.txt</t>
        </is>
      </c>
      <c r="E38" s="55" t="inlineStr">
        <is>
          <t>CRM Call Report - 优化管理客户拜访</t>
        </is>
      </c>
      <c r="G38" s="55" t="inlineStr">
        <is>
          <t>mary</t>
        </is>
      </c>
      <c r="I38" s="55" t="n">
        <v>178</v>
      </c>
      <c r="J38" s="55" t="inlineStr">
        <is>
          <t>Y</t>
        </is>
      </c>
    </row>
    <row r="39">
      <c r="A39" s="55">
        <f>A38+1</f>
        <v/>
      </c>
      <c r="B39" s="55" t="inlineStr">
        <is>
          <t>Monthly Drawdown and Repayment Summary</t>
        </is>
      </c>
      <c r="C39" s="55" t="inlineStr">
        <is>
          <t>S:\Adhoc\Davin\ESPACE\Regular_Report\Cross_CORP_Loan_Movement</t>
        </is>
      </c>
      <c r="D39" s="55" t="inlineStr">
        <is>
          <t>Cross_CORP_Loan_Movement.txt</t>
        </is>
      </c>
      <c r="E39" s="55" t="inlineStr">
        <is>
          <t>Monthly Drawdown and Repayment Summary</t>
        </is>
      </c>
      <c r="F39" s="32" t="n"/>
      <c r="G39" s="55" t="inlineStr">
        <is>
          <t>mary</t>
        </is>
      </c>
      <c r="I39" s="55" t="n">
        <v>120</v>
      </c>
      <c r="J39" s="55" t="inlineStr">
        <is>
          <t>Y</t>
        </is>
      </c>
    </row>
    <row r="40">
      <c r="A40" s="55">
        <f>A39+1</f>
        <v/>
      </c>
      <c r="B40" s="55" t="inlineStr">
        <is>
          <t>Custody Report</t>
        </is>
      </c>
      <c r="C40" s="55" t="inlineStr">
        <is>
          <t>S:\Revenue by RM\Report\Analysis\</t>
        </is>
      </c>
      <c r="D40" s="55" t="inlineStr">
        <is>
          <t>Custody_NII.txt</t>
        </is>
      </c>
      <c r="E40" s="41" t="inlineStr">
        <is>
          <t>Generate the Custody CASA report based on the account list provided by SS team</t>
        </is>
      </c>
      <c r="G40" s="55" t="inlineStr">
        <is>
          <t>josh</t>
        </is>
      </c>
      <c r="I40" s="55" t="n">
        <v>314</v>
      </c>
      <c r="J40" s="55" t="inlineStr">
        <is>
          <t>Y</t>
        </is>
      </c>
    </row>
    <row r="41">
      <c r="A41" s="55">
        <f>A40+1</f>
        <v/>
      </c>
      <c r="B41" s="39" t="inlineStr">
        <is>
          <t>Customer Profile Fee</t>
        </is>
      </c>
      <c r="C41" s="55" t="inlineStr">
        <is>
          <t>S:\Revenue by RM\Report\Analysis\</t>
        </is>
      </c>
      <c r="D41" s="55" t="inlineStr">
        <is>
          <t>Customer_Info_Fee.txt</t>
        </is>
      </c>
      <c r="E41" s="41" t="inlineStr">
        <is>
          <t>Monthly Customer Profile Fee for HK</t>
        </is>
      </c>
      <c r="G41" s="55" t="inlineStr">
        <is>
          <t>josh</t>
        </is>
      </c>
      <c r="I41" s="55" t="n">
        <v>1868</v>
      </c>
      <c r="J41" s="55" t="inlineStr">
        <is>
          <t>Y</t>
        </is>
      </c>
    </row>
    <row r="42">
      <c r="A42" s="55">
        <f>A41+1</f>
        <v/>
      </c>
      <c r="B42" s="39" t="inlineStr">
        <is>
          <t>Customer Profile Macau</t>
        </is>
      </c>
      <c r="C42" s="55" t="inlineStr">
        <is>
          <t>S:\Revenue by RM\Report\Analysis\</t>
        </is>
      </c>
      <c r="D42" s="55" t="inlineStr">
        <is>
          <t>Customer_info_MC9.txt</t>
        </is>
      </c>
      <c r="E42" s="41" t="inlineStr">
        <is>
          <t>It generates the monthly customer profile for Macau</t>
        </is>
      </c>
      <c r="G42" s="55" t="inlineStr">
        <is>
          <t>josh</t>
        </is>
      </c>
      <c r="I42" s="55" t="n">
        <v>269</v>
      </c>
      <c r="J42" s="55" t="inlineStr">
        <is>
          <t>Y</t>
        </is>
      </c>
    </row>
    <row r="43">
      <c r="A43" s="55">
        <f>A42+1</f>
        <v/>
      </c>
      <c r="B43" s="39" t="inlineStr">
        <is>
          <t>Customer Profile</t>
        </is>
      </c>
      <c r="C43" s="55" t="inlineStr">
        <is>
          <t>S:\Revenue by RM\Report\Analysis\</t>
        </is>
      </c>
      <c r="D43" s="55" t="inlineStr">
        <is>
          <t>Customer_Profile.txt</t>
        </is>
      </c>
      <c r="E43" s="41" t="inlineStr">
        <is>
          <t>It generates the monthly customer profile</t>
        </is>
      </c>
      <c r="F43" s="55" t="inlineStr">
        <is>
          <t>Y</t>
        </is>
      </c>
      <c r="G43" s="55" t="inlineStr">
        <is>
          <t>josh</t>
        </is>
      </c>
      <c r="I43" s="55" t="n">
        <v>4268</v>
      </c>
      <c r="J43" s="55" t="inlineStr">
        <is>
          <t>Y</t>
        </is>
      </c>
    </row>
    <row r="44">
      <c r="A44" s="55">
        <f>A43+1</f>
        <v/>
      </c>
      <c r="B44" s="55" t="inlineStr">
        <is>
          <t>ROAC Report</t>
        </is>
      </c>
      <c r="C44" s="55" t="inlineStr">
        <is>
          <t>S:\Adhoc\Davin\ESPACE\Regular_Report\ROAC</t>
        </is>
      </c>
      <c r="D44" s="55" t="inlineStr">
        <is>
          <t>ecrm_revenue_monthly.txt</t>
        </is>
      </c>
      <c r="E44" s="55" t="inlineStr">
        <is>
          <t>ROAC Report</t>
        </is>
      </c>
      <c r="G44" s="55" t="inlineStr">
        <is>
          <t>mary</t>
        </is>
      </c>
      <c r="I44" s="55" t="n">
        <v>399</v>
      </c>
      <c r="J44" s="55" t="inlineStr">
        <is>
          <t>Y</t>
        </is>
      </c>
    </row>
    <row r="45">
      <c r="A45" s="55">
        <f>A44+1</f>
        <v/>
      </c>
      <c r="B45" s="55" t="inlineStr">
        <is>
          <t>EJM Spread Monitor</t>
        </is>
      </c>
      <c r="C45" s="55" t="inlineStr">
        <is>
          <t>S:\Revenue by RM\Report\Analysis\</t>
        </is>
      </c>
      <c r="D45" s="55" t="inlineStr">
        <is>
          <t>EJM_Spread.txt</t>
        </is>
      </c>
      <c r="E45" s="41" t="inlineStr">
        <is>
          <t>It generates the loan spread rate report by EJM</t>
        </is>
      </c>
      <c r="G45" s="55" t="inlineStr">
        <is>
          <t>josh</t>
        </is>
      </c>
      <c r="I45" s="55" t="n">
        <v>143</v>
      </c>
      <c r="J45" s="55" t="inlineStr">
        <is>
          <t>Y</t>
        </is>
      </c>
    </row>
    <row r="46">
      <c r="A46" s="55">
        <f>A45+1</f>
        <v/>
      </c>
      <c r="B46" s="55" t="inlineStr">
        <is>
          <t>Report - Revenue Report</t>
        </is>
      </c>
      <c r="C46" s="55" t="inlineStr">
        <is>
          <t>S:\Adhoc\Davin\ESPACE\EREPORT\REVENUE_DB\Program</t>
        </is>
      </c>
      <c r="D46" s="55" t="inlineStr">
        <is>
          <t>ESG_Bal_HK.txt</t>
        </is>
      </c>
      <c r="E46" s="55" t="inlineStr">
        <is>
          <t>Report - Revenue Report</t>
        </is>
      </c>
      <c r="F46" s="32" t="n"/>
      <c r="G46" s="55" t="inlineStr">
        <is>
          <t>mary</t>
        </is>
      </c>
      <c r="I46" s="55" t="n">
        <v>149</v>
      </c>
    </row>
    <row r="47">
      <c r="A47" s="55">
        <f>A46+1</f>
        <v/>
      </c>
      <c r="B47" s="55" t="inlineStr">
        <is>
          <t>Customer List</t>
        </is>
      </c>
      <c r="C47" s="55" t="inlineStr">
        <is>
          <t>S:\Revenue by RM\Report\Analysis\</t>
        </is>
      </c>
      <c r="D47" s="55" t="inlineStr">
        <is>
          <t>Export_Customer.txt</t>
        </is>
      </c>
      <c r="E47" s="41" t="inlineStr">
        <is>
          <t>It generates the month end customer list</t>
        </is>
      </c>
      <c r="G47" s="55" t="inlineStr">
        <is>
          <t>josh</t>
        </is>
      </c>
      <c r="I47" s="55" t="n">
        <v>270</v>
      </c>
      <c r="J47" s="55" t="inlineStr">
        <is>
          <t>Y</t>
        </is>
      </c>
    </row>
    <row r="48">
      <c r="A48" s="55">
        <f>A47+1</f>
        <v/>
      </c>
      <c r="B48" s="55" t="inlineStr">
        <is>
          <t>Loan Amortization Report</t>
        </is>
      </c>
      <c r="C48" s="55" t="inlineStr">
        <is>
          <t>S:\Revenue by RM\Report\Analysis\</t>
        </is>
      </c>
      <c r="D48" s="55" t="inlineStr">
        <is>
          <t>Export_IW_Amort.txt</t>
        </is>
      </c>
      <c r="E48" s="41" t="inlineStr">
        <is>
          <t>It generates the amortization fee income report</t>
        </is>
      </c>
      <c r="G48" s="55" t="inlineStr">
        <is>
          <t>josh</t>
        </is>
      </c>
      <c r="I48" s="55" t="n">
        <v>300</v>
      </c>
      <c r="J48" s="55" t="inlineStr">
        <is>
          <t>Y</t>
        </is>
      </c>
    </row>
    <row r="49">
      <c r="A49" s="55">
        <f>A48+1</f>
        <v/>
      </c>
      <c r="B49" s="55" t="inlineStr">
        <is>
          <t>Loan Account List</t>
        </is>
      </c>
      <c r="C49" s="55" t="inlineStr">
        <is>
          <t>S:\Revenue by RM\Report\Analysis\</t>
        </is>
      </c>
      <c r="D49" s="55" t="inlineStr">
        <is>
          <t>Export_Loan_Acct.txt</t>
        </is>
      </c>
      <c r="E49" s="41" t="inlineStr">
        <is>
          <t>It generates the list of loan accounts</t>
        </is>
      </c>
      <c r="G49" s="55" t="inlineStr">
        <is>
          <t>josh</t>
        </is>
      </c>
      <c r="I49" s="55" t="n">
        <v>29</v>
      </c>
      <c r="J49" s="55" t="inlineStr">
        <is>
          <t>Y</t>
        </is>
      </c>
    </row>
    <row r="50">
      <c r="A50" s="55">
        <f>A49+1</f>
        <v/>
      </c>
      <c r="B50" s="55" t="inlineStr">
        <is>
          <t>Facility Table for OV</t>
        </is>
      </c>
      <c r="C50" s="55" t="inlineStr">
        <is>
          <t>S:\Revenue by RM\Report\Analysis\</t>
        </is>
      </c>
      <c r="D50" s="55" t="inlineStr">
        <is>
          <t>Facility_Table with OV.txt</t>
        </is>
      </c>
      <c r="E50" s="41" t="inlineStr">
        <is>
          <t>It generates the OV facility information</t>
        </is>
      </c>
      <c r="G50" s="55" t="inlineStr">
        <is>
          <t>josh</t>
        </is>
      </c>
      <c r="I50" s="55" t="n">
        <v>366</v>
      </c>
      <c r="J50" s="55" t="inlineStr">
        <is>
          <t>Y</t>
        </is>
      </c>
    </row>
    <row r="51">
      <c r="A51" s="55">
        <f>A50+1</f>
        <v/>
      </c>
      <c r="B51" s="55" t="inlineStr">
        <is>
          <t>Facility Table</t>
        </is>
      </c>
      <c r="C51" s="55" t="inlineStr">
        <is>
          <t>S:\Revenue by RM\Report\Analysis\</t>
        </is>
      </c>
      <c r="D51" s="55" t="inlineStr">
        <is>
          <t>Facility_Table.txt</t>
        </is>
      </c>
      <c r="E51" s="41" t="inlineStr">
        <is>
          <t>It generates the facility information</t>
        </is>
      </c>
      <c r="G51" s="55" t="inlineStr">
        <is>
          <t>josh</t>
        </is>
      </c>
      <c r="I51" s="55" t="n">
        <v>333</v>
      </c>
      <c r="J51" s="55" t="inlineStr">
        <is>
          <t>Y</t>
        </is>
      </c>
    </row>
    <row r="52">
      <c r="A52" s="55">
        <f>A51+1</f>
        <v/>
      </c>
      <c r="B52" s="55" t="inlineStr">
        <is>
          <t>FD Statistic by RM</t>
        </is>
      </c>
      <c r="C52" s="55" t="inlineStr">
        <is>
          <t>S:\Revenue by RM\Report\Analysis\</t>
        </is>
      </c>
      <c r="D52" s="55" t="inlineStr">
        <is>
          <t>FD_by_RM.txt</t>
        </is>
      </c>
      <c r="E52" s="41" t="inlineStr">
        <is>
          <t>FD info by RM (tenor, currency, offer rate etc)</t>
        </is>
      </c>
      <c r="G52" s="55" t="inlineStr">
        <is>
          <t>josh</t>
        </is>
      </c>
      <c r="I52" s="55" t="n">
        <v>359</v>
      </c>
      <c r="J52" s="55" t="inlineStr">
        <is>
          <t>Y</t>
        </is>
      </c>
    </row>
    <row r="53">
      <c r="A53" s="55">
        <f>A52+1</f>
        <v/>
      </c>
      <c r="B53" s="55" t="inlineStr">
        <is>
          <t>FD Transaction report</t>
        </is>
      </c>
      <c r="C53" s="55" t="inlineStr">
        <is>
          <t>S:\Revenue by RM\Report\Analysis\</t>
        </is>
      </c>
      <c r="D53" s="55" t="inlineStr">
        <is>
          <t>FD_Transaction.txt</t>
        </is>
      </c>
      <c r="E53" s="41" t="inlineStr">
        <is>
          <t>It generates the monthly FD account list</t>
        </is>
      </c>
      <c r="G53" s="55" t="inlineStr">
        <is>
          <t>josh</t>
        </is>
      </c>
      <c r="I53" s="55" t="n">
        <v>108</v>
      </c>
      <c r="J53" s="55" t="inlineStr">
        <is>
          <t>Y</t>
        </is>
      </c>
    </row>
    <row r="54">
      <c r="A54" s="55">
        <f>A53+1</f>
        <v/>
      </c>
      <c r="B54" s="55" t="inlineStr">
        <is>
          <t>中信集团及子公司在信银国际的存款贷款情况</t>
        </is>
      </c>
      <c r="C54" s="55" t="inlineStr">
        <is>
          <t>S:\Revenue by RM\Report\Analysis\</t>
        </is>
      </c>
      <c r="D54" s="55" t="inlineStr">
        <is>
          <t>GCO_YTD_Cust.txt</t>
        </is>
      </c>
      <c r="E54" s="41" t="inlineStr">
        <is>
          <t>Export the YTD loan &amp; deposit info based on the customer list provided by GCO</t>
        </is>
      </c>
      <c r="G54" s="55" t="inlineStr">
        <is>
          <t>josh</t>
        </is>
      </c>
      <c r="I54" s="55" t="n">
        <v>131</v>
      </c>
      <c r="J54" s="55" t="inlineStr">
        <is>
          <t>Y</t>
        </is>
      </c>
    </row>
    <row r="55" ht="28" customHeight="1" s="57">
      <c r="A55" s="55" t="n">
        <v>1</v>
      </c>
      <c r="B55" s="39" t="inlineStr">
        <is>
          <t>Get IMH monthly data</t>
        </is>
      </c>
      <c r="C55" s="55" t="inlineStr">
        <is>
          <t>S:\Revenue by RM\Report\Analysis\</t>
        </is>
      </c>
      <c r="D55" s="55" t="inlineStr">
        <is>
          <t>Get_Data.txt</t>
        </is>
      </c>
      <c r="E55" s="41" t="inlineStr">
        <is>
          <t>Profit table is subject to be revised by FMG, need confirm with FMG and re-run the next day
Normally TP table not available at day 1, need to be rerun again at day 2-3</t>
        </is>
      </c>
      <c r="G55" s="55" t="inlineStr">
        <is>
          <t>josh</t>
        </is>
      </c>
      <c r="I55" s="55" t="n">
        <v>342</v>
      </c>
      <c r="J55" s="55" t="inlineStr">
        <is>
          <t>Y</t>
        </is>
      </c>
    </row>
    <row r="56">
      <c r="A56" s="55">
        <f>A55+1</f>
        <v/>
      </c>
      <c r="B56" s="55" t="inlineStr">
        <is>
          <t>Report - CA Line Usage and Revenue Report</t>
        </is>
      </c>
      <c r="C56" s="55" t="inlineStr">
        <is>
          <t>S:\Adhoc\Davin\ESPACE\EREPORT\CA_DB</t>
        </is>
      </c>
      <c r="D56" s="55" t="inlineStr">
        <is>
          <t>import_export_bal.txt</t>
        </is>
      </c>
      <c r="E56" s="55" t="inlineStr">
        <is>
          <t>Report - CA Line Usage and Revenue Report</t>
        </is>
      </c>
      <c r="F56" s="32" t="n"/>
      <c r="G56" s="55" t="inlineStr">
        <is>
          <t>mary</t>
        </is>
      </c>
      <c r="I56" s="55" t="n">
        <v>122</v>
      </c>
      <c r="J56" s="55" t="inlineStr">
        <is>
          <t>Y</t>
        </is>
      </c>
    </row>
    <row r="57">
      <c r="A57" s="55">
        <f>A56+1</f>
        <v/>
      </c>
      <c r="B57" s="55" t="inlineStr">
        <is>
          <t>Insurance Report</t>
        </is>
      </c>
      <c r="C57" s="55" t="inlineStr">
        <is>
          <t>S:\Revenue by RM\Report\Analysis\</t>
        </is>
      </c>
      <c r="D57" s="55" t="inlineStr">
        <is>
          <t>Insurance_Income.txt</t>
        </is>
      </c>
      <c r="E57" s="41" t="inlineStr">
        <is>
          <t>Insurance Income Report</t>
        </is>
      </c>
      <c r="G57" s="55" t="inlineStr">
        <is>
          <t>josh</t>
        </is>
      </c>
      <c r="I57" s="55" t="n">
        <v>574</v>
      </c>
      <c r="J57" s="55" t="inlineStr">
        <is>
          <t>Y</t>
        </is>
      </c>
    </row>
    <row r="58">
      <c r="A58" s="55">
        <f>A57+1</f>
        <v/>
      </c>
      <c r="B58" s="55" t="inlineStr">
        <is>
          <t>Loan Movement Report</t>
        </is>
      </c>
      <c r="C58" s="55" t="inlineStr">
        <is>
          <t>S:\Revenue by RM\Report\Analysis\</t>
        </is>
      </c>
      <c r="D58" s="55" t="inlineStr">
        <is>
          <t>Loan_Movement_Drawdown_YTD.txt</t>
        </is>
      </c>
      <c r="E58" s="41" t="inlineStr">
        <is>
          <t>Loan movement report (New Loan drawdown, Loan Matured, Loan Repaid)</t>
        </is>
      </c>
      <c r="G58" s="55" t="inlineStr">
        <is>
          <t>josh</t>
        </is>
      </c>
      <c r="I58" s="55" t="n">
        <v>727</v>
      </c>
      <c r="J58" s="55" t="inlineStr">
        <is>
          <t>Y</t>
        </is>
      </c>
    </row>
    <row r="59">
      <c r="A59" s="55">
        <f>A58+1</f>
        <v/>
      </c>
      <c r="B59" s="55" t="inlineStr">
        <is>
          <t>Loan NIM</t>
        </is>
      </c>
      <c r="C59" s="55" t="inlineStr">
        <is>
          <t>S:\Adhoc\Davin\ESPACE\Regular_Report\Loan_NIM</t>
        </is>
      </c>
      <c r="D59" s="55" t="inlineStr">
        <is>
          <t>loan_NIM_compare.txt</t>
        </is>
      </c>
      <c r="E59" s="55" t="inlineStr">
        <is>
          <t>Loan NIM</t>
        </is>
      </c>
      <c r="G59" s="55" t="inlineStr">
        <is>
          <t>mary</t>
        </is>
      </c>
      <c r="I59" s="55" t="n">
        <v>367</v>
      </c>
      <c r="J59" s="55" t="inlineStr">
        <is>
          <t>Y</t>
        </is>
      </c>
    </row>
    <row r="60">
      <c r="A60" s="55">
        <f>A59+1</f>
        <v/>
      </c>
      <c r="B60" s="39" t="inlineStr">
        <is>
          <t>Generate CPR</t>
        </is>
      </c>
      <c r="C60" s="55" t="inlineStr">
        <is>
          <t>S:\Revenue by RM\</t>
        </is>
      </c>
      <c r="D60" s="55" t="inlineStr">
        <is>
          <t>Main_Program4.txt</t>
        </is>
      </c>
      <c r="E60" s="41" t="inlineStr">
        <is>
          <t>CPR generation</t>
        </is>
      </c>
      <c r="G60" s="55" t="inlineStr">
        <is>
          <t>josh</t>
        </is>
      </c>
      <c r="I60" s="55" t="n">
        <v>600</v>
      </c>
      <c r="J60" s="55" t="inlineStr">
        <is>
          <t>Y</t>
        </is>
      </c>
    </row>
    <row r="61" ht="182" customHeight="1" s="57">
      <c r="A61" s="55">
        <f>A60+1</f>
        <v/>
      </c>
      <c r="B61" s="40" t="inlineStr">
        <is>
          <t>Maturity Distribution</t>
        </is>
      </c>
      <c r="C61" s="55" t="inlineStr">
        <is>
          <t>S:\Revenue by RM\Report\Analysis\</t>
        </is>
      </c>
      <c r="D61" s="55" t="inlineStr">
        <is>
          <t>Maturity_Distribution.txt</t>
        </is>
      </c>
      <c r="E61" s="41" t="inlineStr">
        <is>
          <t>It generates the loan maturity report for HK</t>
        </is>
      </c>
      <c r="G61" s="55" t="inlineStr">
        <is>
          <t>josh</t>
        </is>
      </c>
      <c r="H61" s="41" t="inlineStr">
        <is>
          <t>IMH tables: 
VI_IACPF_PROD_LVL
VI_IADRM_CUSTOMER_NOID_CBG
XX Datasets:
AC_PFT_YYYYMM
LOANS_YYYYMM
FAC_LINE_YYYYMM
BILL_TRAN_YYYYMM
CUSTOMER_YYYYMM
CUSTOMER_HISTORY
CUST_ACCT
RM_MAP</t>
        </is>
      </c>
      <c r="I61" s="55" t="n">
        <v>2172</v>
      </c>
      <c r="J61" s="55" t="inlineStr">
        <is>
          <t>Y</t>
        </is>
      </c>
    </row>
    <row r="62">
      <c r="A62" s="55">
        <f>A61+1</f>
        <v/>
      </c>
      <c r="B62" s="55" t="inlineStr">
        <is>
          <t>DCM CASA Report</t>
        </is>
      </c>
      <c r="C62" s="55" t="inlineStr">
        <is>
          <t>S:\Revenue by RM\Report\Analysis\</t>
        </is>
      </c>
      <c r="D62" s="55" t="inlineStr">
        <is>
          <t>Monthly_B_D_CASA.txt</t>
        </is>
      </c>
      <c r="E62" s="41" t="inlineStr">
        <is>
          <t>Generate the DCM CASA report based on the account list provided by TMG</t>
        </is>
      </c>
      <c r="G62" s="55" t="inlineStr">
        <is>
          <t>josh</t>
        </is>
      </c>
      <c r="I62" s="55" t="n">
        <v>147</v>
      </c>
      <c r="J62" s="55" t="inlineStr">
        <is>
          <t>Y</t>
        </is>
      </c>
    </row>
    <row r="63">
      <c r="A63" s="55">
        <f>A62+1</f>
        <v/>
      </c>
      <c r="B63" s="55" t="inlineStr">
        <is>
          <t>Bills Turnover</t>
        </is>
      </c>
      <c r="C63" s="55" t="inlineStr">
        <is>
          <t>S:\Revenue by RM\Report\Analysis\</t>
        </is>
      </c>
      <c r="D63" s="55" t="inlineStr">
        <is>
          <t>Monthly_Bills_Turnover_CNY.txt</t>
        </is>
      </c>
      <c r="E63" s="41" t="inlineStr">
        <is>
          <t>Monthly RMB Bills Turnover report</t>
        </is>
      </c>
      <c r="G63" s="55" t="inlineStr">
        <is>
          <t>josh</t>
        </is>
      </c>
      <c r="I63" s="55" t="n">
        <v>182</v>
      </c>
      <c r="J63" s="55" t="inlineStr">
        <is>
          <t>Y</t>
        </is>
      </c>
    </row>
    <row r="64">
      <c r="A64" s="55">
        <f>A63+1</f>
        <v/>
      </c>
      <c r="B64" s="55" t="inlineStr">
        <is>
          <t>ABC Referral Estimate report</t>
        </is>
      </c>
      <c r="C64" s="55" t="inlineStr">
        <is>
          <t>S:\Revenue by RM\Report\Analysis\</t>
        </is>
      </c>
      <c r="D64" s="55" t="inlineStr">
        <is>
          <t>Monthly_ABC_Revenue.txt</t>
        </is>
      </c>
      <c r="E64" s="41" t="inlineStr">
        <is>
          <t>ABC Referral estimation report for HK</t>
        </is>
      </c>
      <c r="G64" s="55" t="inlineStr">
        <is>
          <t>josh</t>
        </is>
      </c>
      <c r="I64" s="55" t="n">
        <v>1729</v>
      </c>
      <c r="J64" s="55" t="inlineStr">
        <is>
          <t>Y</t>
        </is>
      </c>
    </row>
    <row r="65">
      <c r="A65" s="55">
        <f>A64+1</f>
        <v/>
      </c>
      <c r="B65" s="55" t="inlineStr">
        <is>
          <t>Credit Rating Trend Report</t>
        </is>
      </c>
      <c r="C65" s="55" t="inlineStr">
        <is>
          <t>S:\Revenue by RM\Report\Analysis\</t>
        </is>
      </c>
      <c r="D65" s="55" t="inlineStr">
        <is>
          <t>Monthly_Credit_Rating_Trend2.txt</t>
        </is>
      </c>
      <c r="E65" s="41" t="inlineStr">
        <is>
          <t>WBG (HK+OV) loan Credit Rating Report</t>
        </is>
      </c>
      <c r="G65" s="55" t="inlineStr">
        <is>
          <t>josh</t>
        </is>
      </c>
      <c r="I65" s="55" t="n">
        <v>491</v>
      </c>
      <c r="J65" s="55" t="inlineStr">
        <is>
          <t>Y</t>
        </is>
      </c>
    </row>
    <row r="66" ht="28" customHeight="1" s="57">
      <c r="A66" s="55">
        <f>A65+1</f>
        <v/>
      </c>
      <c r="B66" s="55" t="inlineStr">
        <is>
          <t>Customer Movement</t>
        </is>
      </c>
      <c r="C66" s="55" t="inlineStr">
        <is>
          <t>S:\Revenue by RM\Report\Analysis\</t>
        </is>
      </c>
      <c r="D66" s="55" t="inlineStr">
        <is>
          <t>Monthly_Customer_Movement.txt</t>
        </is>
      </c>
      <c r="E66" s="41" t="inlineStr">
        <is>
          <t>It compare the customer list with previous month, list out the newly added\removed customers</t>
        </is>
      </c>
      <c r="G66" s="55" t="inlineStr">
        <is>
          <t>josh</t>
        </is>
      </c>
      <c r="I66" s="55" t="n">
        <v>275</v>
      </c>
      <c r="J66" s="55" t="inlineStr">
        <is>
          <t>Y</t>
        </is>
      </c>
    </row>
    <row r="67">
      <c r="A67" s="55">
        <f>A66+1</f>
        <v/>
      </c>
      <c r="B67" s="55" t="inlineStr">
        <is>
          <t>EJM Movement Monitor</t>
        </is>
      </c>
      <c r="C67" s="55" t="inlineStr">
        <is>
          <t>S:\Revenue by RM\Report\Analysis\</t>
        </is>
      </c>
      <c r="D67" s="55" t="inlineStr">
        <is>
          <t>Monthly_EJM_Movement.txt</t>
        </is>
      </c>
      <c r="E67" s="41" t="inlineStr">
        <is>
          <t>It compare the EJM with previous month and generate the movement report</t>
        </is>
      </c>
      <c r="G67" s="55" t="inlineStr">
        <is>
          <t>josh</t>
        </is>
      </c>
      <c r="I67" s="55" t="n">
        <v>160</v>
      </c>
      <c r="J67" s="55" t="inlineStr">
        <is>
          <t>Y</t>
        </is>
      </c>
    </row>
    <row r="68">
      <c r="A68" s="55">
        <f>A67+1</f>
        <v/>
      </c>
      <c r="B68" s="55" t="inlineStr">
        <is>
          <t>Borrower and Guarantor Report</t>
        </is>
      </c>
      <c r="C68" s="55" t="inlineStr">
        <is>
          <t>S:\Revenue by RM\Report\Analysis\</t>
        </is>
      </c>
      <c r="D68" s="55" t="inlineStr">
        <is>
          <t>Monthly_Guarantor3.txt</t>
        </is>
      </c>
      <c r="E68" s="41" t="inlineStr">
        <is>
          <t>Report for the borrower and guarator</t>
        </is>
      </c>
      <c r="G68" s="55" t="inlineStr">
        <is>
          <t>josh</t>
        </is>
      </c>
      <c r="I68" s="55" t="n">
        <v>329</v>
      </c>
      <c r="J68" s="55" t="inlineStr">
        <is>
          <t>Y</t>
        </is>
      </c>
    </row>
    <row r="69">
      <c r="A69" s="55">
        <f>A68+1</f>
        <v/>
      </c>
      <c r="B69" s="55" t="inlineStr">
        <is>
          <t>Loan &amp; Deposit Trend</t>
        </is>
      </c>
      <c r="C69" s="55" t="inlineStr">
        <is>
          <t>S:\Revenue by RM\Report\Analysis\</t>
        </is>
      </c>
      <c r="D69" s="55" t="inlineStr">
        <is>
          <t>Monthly_LD_Trend2.txt</t>
        </is>
      </c>
      <c r="E69" s="41" t="inlineStr">
        <is>
          <t>Loan &amp; Deposit Movement Trend Report</t>
        </is>
      </c>
      <c r="G69" s="55" t="inlineStr">
        <is>
          <t>josh</t>
        </is>
      </c>
      <c r="I69" s="55" t="n">
        <v>295</v>
      </c>
      <c r="J69" s="55" t="inlineStr">
        <is>
          <t>Y</t>
        </is>
      </c>
    </row>
    <row r="70">
      <c r="A70" s="55">
        <f>A69+1</f>
        <v/>
      </c>
      <c r="B70" s="55" t="inlineStr">
        <is>
          <t>Loan Drawdown &amp; Matured</t>
        </is>
      </c>
      <c r="C70" s="55" t="inlineStr">
        <is>
          <t>S:\Revenue by RM\Report\Analysis\</t>
        </is>
      </c>
      <c r="D70" s="55" t="inlineStr">
        <is>
          <t>Monthly_Loan_Drawdown_Matured.txt</t>
        </is>
      </c>
      <c r="E70" s="41" t="inlineStr">
        <is>
          <t>New Loan drawdown and matured report</t>
        </is>
      </c>
      <c r="G70" s="55" t="inlineStr">
        <is>
          <t>josh</t>
        </is>
      </c>
      <c r="I70" s="55" t="n">
        <v>114</v>
      </c>
      <c r="J70" s="55" t="inlineStr">
        <is>
          <t>Y</t>
        </is>
      </c>
    </row>
    <row r="71">
      <c r="A71" s="55">
        <f>A70+1</f>
        <v/>
      </c>
      <c r="B71" s="55" t="inlineStr">
        <is>
          <t>Loan Drawdown OV</t>
        </is>
      </c>
      <c r="C71" s="55" t="inlineStr">
        <is>
          <t>S:\Revenue by RM\Report\Analysis\</t>
        </is>
      </c>
      <c r="D71" s="55" t="inlineStr">
        <is>
          <t>Monthly_Loan_Drawdown_OV.txt</t>
        </is>
      </c>
      <c r="E71" s="41" t="inlineStr">
        <is>
          <t>Loan Drawdown report for OV</t>
        </is>
      </c>
      <c r="G71" s="55" t="inlineStr">
        <is>
          <t>josh</t>
        </is>
      </c>
      <c r="I71" s="55" t="n">
        <v>108</v>
      </c>
      <c r="J71" s="55" t="inlineStr">
        <is>
          <t>Y</t>
        </is>
      </c>
    </row>
    <row r="72">
      <c r="A72" s="55">
        <f>A71+1</f>
        <v/>
      </c>
      <c r="B72" s="55" t="inlineStr">
        <is>
          <t>Loan Spread Movement</t>
        </is>
      </c>
      <c r="C72" s="55" t="inlineStr">
        <is>
          <t>S:\Revenue by RM\Report\Analysis\</t>
        </is>
      </c>
      <c r="D72" s="55" t="inlineStr">
        <is>
          <t>Monthly_Loan_Spread_Movement2.txt</t>
        </is>
      </c>
      <c r="E72" s="41" t="inlineStr">
        <is>
          <t>Compare previous month for the loan spread changes</t>
        </is>
      </c>
      <c r="G72" s="55" t="inlineStr">
        <is>
          <t>josh</t>
        </is>
      </c>
      <c r="I72" s="55" t="n">
        <v>408</v>
      </c>
      <c r="J72" s="55" t="inlineStr">
        <is>
          <t>Y</t>
        </is>
      </c>
    </row>
    <row r="73">
      <c r="A73" s="55">
        <f>A72+1</f>
        <v/>
      </c>
      <c r="B73" s="55" t="inlineStr">
        <is>
          <t>MACC Report</t>
        </is>
      </c>
      <c r="C73" s="55" t="inlineStr">
        <is>
          <t>S:\Revenue by RM\Report\Analysis\</t>
        </is>
      </c>
      <c r="D73" s="55" t="inlineStr">
        <is>
          <t>Monthly_MACC.txt</t>
        </is>
      </c>
      <c r="E73" s="41" t="inlineStr">
        <is>
          <t>MACC report</t>
        </is>
      </c>
      <c r="G73" s="55" t="inlineStr">
        <is>
          <t>josh</t>
        </is>
      </c>
      <c r="I73" s="55" t="n">
        <v>210</v>
      </c>
      <c r="J73" s="55" t="inlineStr">
        <is>
          <t>Y</t>
        </is>
      </c>
    </row>
    <row r="74">
      <c r="A74" s="55">
        <f>A73+1</f>
        <v/>
      </c>
      <c r="B74" s="55" t="inlineStr">
        <is>
          <t>Negative NII Checking</t>
        </is>
      </c>
      <c r="C74" s="55" t="inlineStr">
        <is>
          <t>S:\Revenue by RM\Report\Analysis\</t>
        </is>
      </c>
      <c r="D74" s="55" t="inlineStr">
        <is>
          <t>Monthly_Negative_NII2.txt</t>
        </is>
      </c>
      <c r="E74" s="41" t="inlineStr">
        <is>
          <t>Negative NII Checking</t>
        </is>
      </c>
      <c r="G74" s="55" t="inlineStr">
        <is>
          <t>josh</t>
        </is>
      </c>
      <c r="I74" s="55" t="n">
        <v>291</v>
      </c>
      <c r="J74" s="55" t="inlineStr">
        <is>
          <t>Y</t>
        </is>
      </c>
    </row>
    <row r="75">
      <c r="A75" s="55">
        <f>A74+1</f>
        <v/>
      </c>
      <c r="B75" s="55" t="inlineStr">
        <is>
          <t>Monthly New Loan Pricing</t>
        </is>
      </c>
      <c r="C75" s="55" t="inlineStr">
        <is>
          <t>S:\Revenue by RM\Report\Analysis\</t>
        </is>
      </c>
      <c r="D75" s="55" t="inlineStr">
        <is>
          <t>Monthly_New_Loan_Pricing.txt</t>
        </is>
      </c>
      <c r="E75" s="41" t="inlineStr">
        <is>
          <t>Monthly new loan pricing (new drawdown/rollover)</t>
        </is>
      </c>
      <c r="G75" s="55" t="inlineStr">
        <is>
          <t>josh</t>
        </is>
      </c>
      <c r="I75" s="55" t="n">
        <v>183</v>
      </c>
      <c r="J75" s="55" t="inlineStr">
        <is>
          <t>Y</t>
        </is>
      </c>
    </row>
    <row r="76">
      <c r="A76" s="55">
        <f>A75+1</f>
        <v/>
      </c>
      <c r="B76" s="55" t="inlineStr">
        <is>
          <t>Non Revolving Drawdown</t>
        </is>
      </c>
      <c r="C76" s="55" t="inlineStr">
        <is>
          <t>S:\Revenue by RM\Report\Analysis\</t>
        </is>
      </c>
      <c r="D76" s="55" t="inlineStr">
        <is>
          <t>Monthly_NRvol_Loan_Drawdown.txt</t>
        </is>
      </c>
      <c r="E76" s="41" t="inlineStr">
        <is>
          <t>Non Revolving Loan Drawdown report</t>
        </is>
      </c>
      <c r="G76" s="55" t="inlineStr">
        <is>
          <t>josh</t>
        </is>
      </c>
      <c r="I76" s="55" t="n">
        <v>197</v>
      </c>
      <c r="J76" s="55" t="inlineStr">
        <is>
          <t>Y</t>
        </is>
      </c>
    </row>
    <row r="77">
      <c r="A77" s="55">
        <f>A76+1</f>
        <v/>
      </c>
      <c r="B77" s="55" t="inlineStr">
        <is>
          <t>Remittance Report</t>
        </is>
      </c>
      <c r="C77" s="55" t="inlineStr">
        <is>
          <t>S:\Revenue by RM\Report\Analysis\</t>
        </is>
      </c>
      <c r="D77" s="55" t="inlineStr">
        <is>
          <t>Monthly_Remittance.txt</t>
        </is>
      </c>
      <c r="E77" s="41" t="inlineStr">
        <is>
          <t>Remittance Report</t>
        </is>
      </c>
      <c r="G77" s="55" t="inlineStr">
        <is>
          <t>josh</t>
        </is>
      </c>
      <c r="I77" s="55" t="n">
        <v>91</v>
      </c>
      <c r="J77" s="55" t="inlineStr">
        <is>
          <t>Y</t>
        </is>
      </c>
    </row>
    <row r="78">
      <c r="A78" s="55">
        <f>A77+1</f>
        <v/>
      </c>
      <c r="B78" s="55" t="inlineStr">
        <is>
          <t>SF CASA Report</t>
        </is>
      </c>
      <c r="C78" s="55" t="inlineStr">
        <is>
          <t>S:\Revenue by RM\Report\Analysis\</t>
        </is>
      </c>
      <c r="D78" s="55" t="inlineStr">
        <is>
          <t>Monthly_SF_CASA.txt</t>
        </is>
      </c>
      <c r="E78" s="41" t="inlineStr">
        <is>
          <t>Generate the SF CASA report based on the account list provided by TMG</t>
        </is>
      </c>
      <c r="G78" s="55" t="inlineStr">
        <is>
          <t>josh</t>
        </is>
      </c>
      <c r="I78" s="55" t="n">
        <v>122</v>
      </c>
      <c r="J78" s="55" t="inlineStr">
        <is>
          <t>Y</t>
        </is>
      </c>
    </row>
    <row r="79">
      <c r="A79" s="55">
        <f>A78+1</f>
        <v/>
      </c>
      <c r="B79" s="55" t="inlineStr">
        <is>
          <t>SF CASA Report for OV</t>
        </is>
      </c>
      <c r="C79" s="55" t="inlineStr">
        <is>
          <t>S:\Revenue by RM\Report\Analysis\</t>
        </is>
      </c>
      <c r="D79" s="55" t="inlineStr">
        <is>
          <t>Monthly_SF_OV_CASA.txt</t>
        </is>
      </c>
      <c r="E79" s="41" t="inlineStr">
        <is>
          <t>Generate the SF CASA OV report based on the account list provided by TMG</t>
        </is>
      </c>
      <c r="G79" s="55" t="inlineStr">
        <is>
          <t>josh</t>
        </is>
      </c>
      <c r="I79" s="55" t="n">
        <v>62</v>
      </c>
      <c r="J79" s="55" t="inlineStr">
        <is>
          <t>Y</t>
        </is>
      </c>
    </row>
    <row r="80">
      <c r="A80" s="55">
        <f>A79+1</f>
        <v/>
      </c>
      <c r="B80" s="55" t="inlineStr">
        <is>
          <t>Custody, SF, DCM &amp; TB Trend report</t>
        </is>
      </c>
      <c r="C80" s="55" t="inlineStr">
        <is>
          <t>S:\Revenue by RM\Report\Analysis\</t>
        </is>
      </c>
      <c r="D80" s="55" t="inlineStr">
        <is>
          <t>Monthly_SS_DCM_SF_TB.txt</t>
        </is>
      </c>
      <c r="E80" s="41" t="inlineStr">
        <is>
          <t>SS, DCM, SF &amp; TB YTD report (customer count, average CASA balance)</t>
        </is>
      </c>
      <c r="G80" s="55" t="inlineStr">
        <is>
          <t>josh</t>
        </is>
      </c>
      <c r="I80" s="55" t="n">
        <v>228</v>
      </c>
      <c r="J80" s="55" t="inlineStr">
        <is>
          <t>Y</t>
        </is>
      </c>
    </row>
    <row r="81">
      <c r="A81" s="55">
        <f>A80+1</f>
        <v/>
      </c>
      <c r="B81" s="55" t="inlineStr">
        <is>
          <t>內保外貸 &amp; 內保外債 Report</t>
        </is>
      </c>
      <c r="C81" s="55" t="inlineStr">
        <is>
          <t>S:\Revenue by RM\Report\Analysis\</t>
        </is>
      </c>
      <c r="D81" s="55" t="inlineStr">
        <is>
          <t>Nei_Bao_Wai_Dai.txt</t>
        </is>
      </c>
      <c r="E81" s="41" t="inlineStr">
        <is>
          <t>內保外貸 &amp; 內保外債 Report</t>
        </is>
      </c>
      <c r="G81" s="55" t="inlineStr">
        <is>
          <t>josh</t>
        </is>
      </c>
      <c r="I81" s="55" t="n">
        <v>246</v>
      </c>
      <c r="J81" s="55" t="inlineStr">
        <is>
          <t>Y</t>
        </is>
      </c>
    </row>
    <row r="82">
      <c r="A82" s="55">
        <f>A81+1</f>
        <v/>
      </c>
      <c r="B82" s="55" t="inlineStr">
        <is>
          <t>NIO Cust List</t>
        </is>
      </c>
      <c r="C82" s="55" t="inlineStr">
        <is>
          <t>S:\Revenue by RM\Report\Analysis\</t>
        </is>
      </c>
      <c r="D82" s="55" t="inlineStr">
        <is>
          <t>NIO_Cust_List.txt</t>
        </is>
      </c>
      <c r="E82" s="41" t="inlineStr">
        <is>
          <t>It generates the NIO customer list (ABC &amp; Citic)</t>
        </is>
      </c>
      <c r="G82" s="55" t="inlineStr">
        <is>
          <t>josh</t>
        </is>
      </c>
      <c r="I82" s="55" t="n">
        <v>81</v>
      </c>
      <c r="J82" s="55" t="inlineStr">
        <is>
          <t>Y</t>
        </is>
      </c>
    </row>
    <row r="83">
      <c r="A83" s="55">
        <f>A82+1</f>
        <v/>
      </c>
      <c r="B83" s="55" t="inlineStr">
        <is>
          <t>No. of Customers by Tier</t>
        </is>
      </c>
      <c r="C83" s="55" t="inlineStr">
        <is>
          <t>S:\Revenue by RM\Report\Analysis\</t>
        </is>
      </c>
      <c r="D83" s="55" t="inlineStr">
        <is>
          <t>No_of_Customer_Tiers.txt</t>
        </is>
      </c>
      <c r="E83" s="41" t="inlineStr">
        <is>
          <t>No. of Customers by Tier report (HK + OV)</t>
        </is>
      </c>
      <c r="G83" s="55" t="inlineStr">
        <is>
          <t>josh</t>
        </is>
      </c>
      <c r="I83" s="55" t="n">
        <v>372</v>
      </c>
      <c r="J83" s="55" t="inlineStr">
        <is>
          <t>Y</t>
        </is>
      </c>
    </row>
    <row r="84">
      <c r="A84" s="55">
        <f>A83+1</f>
        <v/>
      </c>
      <c r="B84" s="55" t="inlineStr">
        <is>
          <t>No. of Customers</t>
        </is>
      </c>
      <c r="C84" s="55" t="inlineStr">
        <is>
          <t>S:\Revenue by RM\Report\Analysis\</t>
        </is>
      </c>
      <c r="D84" s="55" t="inlineStr">
        <is>
          <t>No_of_Customers.txt</t>
        </is>
      </c>
      <c r="E84" s="41" t="inlineStr">
        <is>
          <t>It generate the list of Monthly No. of Customers</t>
        </is>
      </c>
      <c r="G84" s="55" t="inlineStr">
        <is>
          <t>josh</t>
        </is>
      </c>
      <c r="I84" s="55" t="n">
        <v>1960</v>
      </c>
      <c r="J84" s="55" t="inlineStr">
        <is>
          <t>Y</t>
        </is>
      </c>
    </row>
    <row r="85">
      <c r="A85" s="55">
        <f>A84+1</f>
        <v/>
      </c>
      <c r="B85" s="55" t="inlineStr">
        <is>
          <t>Amort NII/Amort Fee</t>
        </is>
      </c>
      <c r="C85" s="55" t="inlineStr">
        <is>
          <t>S:\Adhoc\Davin\ESPACE\Regular_Report\OGL</t>
        </is>
      </c>
      <c r="D85" s="55" t="inlineStr">
        <is>
          <t>OGL_Remap_Monthly.txt</t>
        </is>
      </c>
      <c r="E85" s="55" t="inlineStr">
        <is>
          <t>Amort NII/Amort Fee</t>
        </is>
      </c>
      <c r="G85" s="55" t="inlineStr">
        <is>
          <t>mary</t>
        </is>
      </c>
      <c r="I85" s="55" t="n">
        <v>214</v>
      </c>
      <c r="J85" s="55" t="inlineStr">
        <is>
          <t>Y</t>
        </is>
      </c>
    </row>
    <row r="86">
      <c r="A86" s="55">
        <f>A85+1</f>
        <v/>
      </c>
      <c r="B86" s="55" t="inlineStr">
        <is>
          <t>Online Transaction</t>
        </is>
      </c>
      <c r="C86" s="55" t="inlineStr">
        <is>
          <t>S:\Revenue by RM\Report\Analysis\</t>
        </is>
      </c>
      <c r="D86" s="55" t="inlineStr">
        <is>
          <t>Online_Tran2.txt</t>
        </is>
      </c>
      <c r="E86" s="41" t="inlineStr">
        <is>
          <t>It generates the list of online transaction, based on the transaction code</t>
        </is>
      </c>
      <c r="G86" s="55" t="inlineStr">
        <is>
          <t>josh</t>
        </is>
      </c>
      <c r="I86" s="55" t="n">
        <v>252</v>
      </c>
      <c r="J86" s="55" t="inlineStr">
        <is>
          <t>Y</t>
        </is>
      </c>
    </row>
    <row r="87" customFormat="1" s="32">
      <c r="A87" s="55">
        <f>A86+1</f>
        <v/>
      </c>
      <c r="B87" s="55" t="inlineStr">
        <is>
          <t>Report - Revenue Report</t>
        </is>
      </c>
      <c r="C87" s="55" t="inlineStr">
        <is>
          <t>S:\Adhoc\Davin\ESPACE\EREPORT\REVENUE_DB\Program</t>
        </is>
      </c>
      <c r="D87" s="55" t="inlineStr">
        <is>
          <t>Op_Dep_HK.txt</t>
        </is>
      </c>
      <c r="E87" s="55" t="inlineStr">
        <is>
          <t>Report - Revenue Report</t>
        </is>
      </c>
      <c r="G87" s="55" t="inlineStr">
        <is>
          <t>mary</t>
        </is>
      </c>
      <c r="I87" s="55" t="n">
        <v>50</v>
      </c>
    </row>
    <row r="88" customFormat="1" s="32">
      <c r="A88" s="55">
        <f>A87+1</f>
        <v/>
      </c>
      <c r="B88" s="55" t="inlineStr">
        <is>
          <t>Loan info Report for OV</t>
        </is>
      </c>
      <c r="C88" s="55" t="inlineStr">
        <is>
          <t>S:\Revenue by RM\Report\Analysis\</t>
        </is>
      </c>
      <c r="D88" s="55" t="inlineStr">
        <is>
          <t>OV_Loan_Bal.txt</t>
        </is>
      </c>
      <c r="E88" s="41" t="inlineStr">
        <is>
          <t>Loan balance report for OV</t>
        </is>
      </c>
      <c r="F88" s="55" t="n"/>
      <c r="G88" s="55" t="inlineStr">
        <is>
          <t>josh</t>
        </is>
      </c>
      <c r="I88" s="55" t="n">
        <v>324</v>
      </c>
      <c r="J88" s="55" t="inlineStr">
        <is>
          <t>Y</t>
        </is>
      </c>
    </row>
    <row r="89" customFormat="1" s="32">
      <c r="A89" s="55">
        <f>A88+1</f>
        <v/>
      </c>
      <c r="B89" s="55" t="inlineStr">
        <is>
          <t>Maturity Distribution OV</t>
        </is>
      </c>
      <c r="C89" s="55" t="inlineStr">
        <is>
          <t>S:\Revenue by RM\Report\Analysis\</t>
        </is>
      </c>
      <c r="D89" s="55" t="inlineStr">
        <is>
          <t>OV_Maturity_Profile.txt</t>
        </is>
      </c>
      <c r="E89" s="41" t="inlineStr">
        <is>
          <t>It generates the loan maturity report for OV</t>
        </is>
      </c>
      <c r="F89" s="55" t="n"/>
      <c r="G89" s="55" t="inlineStr">
        <is>
          <t>josh</t>
        </is>
      </c>
      <c r="I89" s="55" t="n">
        <v>284</v>
      </c>
      <c r="J89" s="55" t="inlineStr">
        <is>
          <t>Y</t>
        </is>
      </c>
    </row>
    <row r="90" customFormat="1" s="32">
      <c r="A90" s="55">
        <f>A89+1</f>
        <v/>
      </c>
      <c r="B90" s="55" t="inlineStr">
        <is>
          <t>PBG Referral Report</t>
        </is>
      </c>
      <c r="C90" s="55" t="inlineStr">
        <is>
          <t>S:\Revenue by RM\Report\Analysis\</t>
        </is>
      </c>
      <c r="D90" s="55" t="inlineStr">
        <is>
          <t>PBG_Referral.txt</t>
        </is>
      </c>
      <c r="E90" s="55" t="inlineStr">
        <is>
          <t>PBG Referral Report</t>
        </is>
      </c>
      <c r="F90" s="55" t="n"/>
      <c r="G90" s="55" t="inlineStr">
        <is>
          <t>josh</t>
        </is>
      </c>
      <c r="I90" s="55" t="n">
        <v>146</v>
      </c>
      <c r="J90" s="55" t="inlineStr">
        <is>
          <t>Y</t>
        </is>
      </c>
    </row>
    <row r="91" customFormat="1" s="32">
      <c r="A91" s="55">
        <f>A90+1</f>
        <v/>
      </c>
      <c r="B91" s="55" t="inlineStr">
        <is>
          <t>Preliminary Expenses Report</t>
        </is>
      </c>
      <c r="C91" s="55" t="inlineStr">
        <is>
          <t>S:\Revenue by RM\Report\Analysis\</t>
        </is>
      </c>
      <c r="D91" s="55" t="inlineStr">
        <is>
          <t>Preliminary_Expenses.txt</t>
        </is>
      </c>
      <c r="E91" s="41" t="inlineStr">
        <is>
          <t>Direct Operating Expenses Trend Report</t>
        </is>
      </c>
      <c r="F91" s="55" t="n"/>
      <c r="G91" s="55" t="inlineStr">
        <is>
          <t>josh</t>
        </is>
      </c>
      <c r="I91" s="55" t="n">
        <v>167</v>
      </c>
      <c r="J91" s="55" t="inlineStr">
        <is>
          <t>Y</t>
        </is>
      </c>
    </row>
    <row r="92" customFormat="1" s="32">
      <c r="A92" s="55">
        <f>A91+1</f>
        <v/>
      </c>
      <c r="B92" s="55" t="inlineStr">
        <is>
          <t>Public Sector</t>
        </is>
      </c>
      <c r="C92" s="55" t="inlineStr">
        <is>
          <t>S:\Adhoc\Davin\ESPACE\Regular_Report\Public_Sector</t>
        </is>
      </c>
      <c r="D92" s="55" t="inlineStr">
        <is>
          <t>Public_Sector.txt</t>
        </is>
      </c>
      <c r="E92" s="55" t="inlineStr">
        <is>
          <t>Public Sector</t>
        </is>
      </c>
      <c r="F92" s="55" t="n"/>
      <c r="G92" s="55" t="inlineStr">
        <is>
          <t>mary</t>
        </is>
      </c>
      <c r="I92" s="55" t="n">
        <v>143</v>
      </c>
      <c r="J92" s="55" t="inlineStr">
        <is>
          <t>Y</t>
        </is>
      </c>
    </row>
    <row r="93" customFormat="1" s="32">
      <c r="A93" s="55">
        <f>A92+1</f>
        <v/>
      </c>
      <c r="B93" s="55" t="inlineStr">
        <is>
          <t>CPR Trend Report Refresh</t>
        </is>
      </c>
      <c r="C93" s="55" t="inlineStr">
        <is>
          <t>S:\Revenue by RM\Report\Analysis\</t>
        </is>
      </c>
      <c r="D93" s="55" t="inlineStr">
        <is>
          <t>Regenerate_CPR.txt</t>
        </is>
      </c>
      <c r="E93" s="41" t="inlineStr">
        <is>
          <t>Regeneration all CPR from January onwards to refresh both customer &amp; RM mapping</t>
        </is>
      </c>
      <c r="F93" s="55" t="n"/>
      <c r="G93" s="55" t="inlineStr">
        <is>
          <t>josh</t>
        </is>
      </c>
      <c r="I93" s="55" t="n">
        <v>542</v>
      </c>
      <c r="J93" s="55" t="inlineStr">
        <is>
          <t>Y</t>
        </is>
      </c>
    </row>
    <row r="94" customFormat="1" s="32">
      <c r="A94" s="55">
        <f>A93+1</f>
        <v/>
      </c>
      <c r="B94" s="55" t="inlineStr">
        <is>
          <t>No of Customer Trend Report</t>
        </is>
      </c>
      <c r="C94" s="55" t="inlineStr">
        <is>
          <t>S:\Revenue by RM\Report\Analysis\</t>
        </is>
      </c>
      <c r="D94" s="41" t="inlineStr">
        <is>
          <t>Rerun_No_of_CustomerV3.txt</t>
        </is>
      </c>
      <c r="E94" s="41" t="inlineStr">
        <is>
          <t>Refresh the No. of Customers and generate the trend report</t>
        </is>
      </c>
      <c r="F94" s="55" t="n"/>
      <c r="G94" s="55" t="inlineStr">
        <is>
          <t>josh</t>
        </is>
      </c>
      <c r="I94" s="55" t="n">
        <v>1655</v>
      </c>
      <c r="J94" s="55" t="inlineStr">
        <is>
          <t>Y</t>
        </is>
      </c>
    </row>
    <row r="95" customFormat="1" s="32">
      <c r="D95" s="41" t="inlineStr">
        <is>
          <t>Rerun_No_of_Customers_NewV2.txt</t>
        </is>
      </c>
      <c r="F95" s="55" t="n"/>
      <c r="G95" s="55" t="inlineStr">
        <is>
          <t>josh</t>
        </is>
      </c>
      <c r="I95" s="55" t="n">
        <v>817</v>
      </c>
      <c r="J95" s="55" t="inlineStr">
        <is>
          <t>Y</t>
        </is>
      </c>
    </row>
    <row r="96" customFormat="1" s="32">
      <c r="A96" s="55">
        <f>A94+1</f>
        <v/>
      </c>
      <c r="B96" s="39" t="inlineStr">
        <is>
          <t>Revenue Analysis</t>
        </is>
      </c>
      <c r="C96" s="55" t="inlineStr">
        <is>
          <t>S:\Revenue by RM\Report\Analysis\</t>
        </is>
      </c>
      <c r="D96" s="55" t="inlineStr">
        <is>
          <t>Revenue_Analysis.txt</t>
        </is>
      </c>
      <c r="E96" s="41" t="inlineStr">
        <is>
          <t>Generate MTD &amp; YTD revenue report by MGs</t>
        </is>
      </c>
      <c r="F96" s="55" t="n"/>
      <c r="G96" s="55" t="inlineStr">
        <is>
          <t>josh</t>
        </is>
      </c>
      <c r="I96" s="55" t="n">
        <v>1883</v>
      </c>
      <c r="J96" s="55" t="inlineStr">
        <is>
          <t>Y</t>
        </is>
      </c>
    </row>
    <row r="97" customFormat="1" s="32">
      <c r="A97" s="55">
        <f>A96+1</f>
        <v/>
      </c>
      <c r="B97" s="42" t="inlineStr">
        <is>
          <t>Report - Revenue Report</t>
        </is>
      </c>
      <c r="C97" s="55" t="inlineStr">
        <is>
          <t>S:\Adhoc\Davin\ESPACE\EREPORT\REVENUE_DB\Program</t>
        </is>
      </c>
      <c r="D97" s="55" t="inlineStr">
        <is>
          <t>Revenue_Main_HK.txt</t>
        </is>
      </c>
      <c r="E97" s="55" t="inlineStr">
        <is>
          <t>Report - Revenue Report</t>
        </is>
      </c>
      <c r="G97" s="55" t="inlineStr">
        <is>
          <t>mary</t>
        </is>
      </c>
      <c r="I97" s="55" t="n">
        <v>952</v>
      </c>
    </row>
    <row r="98" customFormat="1" s="32">
      <c r="A98" s="55">
        <f>A97+1</f>
        <v/>
      </c>
      <c r="C98" s="55" t="inlineStr">
        <is>
          <t>S:\Adhoc\Davin\ESPACE\EREPORT\REVENUE_DB\Program</t>
        </is>
      </c>
      <c r="D98" s="55" t="inlineStr">
        <is>
          <t>Revenue_Main_LA.txt</t>
        </is>
      </c>
      <c r="E98" s="55" t="inlineStr">
        <is>
          <t>Report - Revenue Report</t>
        </is>
      </c>
      <c r="G98" s="55" t="inlineStr">
        <is>
          <t>mary</t>
        </is>
      </c>
      <c r="I98" s="55" t="n">
        <v>517</v>
      </c>
    </row>
    <row r="99" customFormat="1" s="32">
      <c r="A99" s="55">
        <f>A98+1</f>
        <v/>
      </c>
      <c r="C99" s="55" t="inlineStr">
        <is>
          <t>S:\Adhoc\Davin\ESPACE\EREPORT\REVENUE_DB\Program</t>
        </is>
      </c>
      <c r="D99" s="55" t="inlineStr">
        <is>
          <t>Revenue_Main_MO.txt</t>
        </is>
      </c>
      <c r="E99" s="55" t="inlineStr">
        <is>
          <t>Report - Revenue Report</t>
        </is>
      </c>
      <c r="G99" s="55" t="inlineStr">
        <is>
          <t>mary</t>
        </is>
      </c>
      <c r="I99" s="55" t="n">
        <v>425</v>
      </c>
    </row>
    <row r="100" customFormat="1" s="32">
      <c r="A100" s="55">
        <f>A99+1</f>
        <v/>
      </c>
      <c r="C100" s="55" t="inlineStr">
        <is>
          <t>S:\Adhoc\Davin\ESPACE\EREPORT\REVENUE_DB\Program</t>
        </is>
      </c>
      <c r="D100" s="55" t="inlineStr">
        <is>
          <t>Revenue_Main_NY.txt</t>
        </is>
      </c>
      <c r="E100" s="55" t="inlineStr">
        <is>
          <t>Report - Revenue Report</t>
        </is>
      </c>
      <c r="G100" s="55" t="inlineStr">
        <is>
          <t>mary</t>
        </is>
      </c>
      <c r="I100" s="55" t="n">
        <v>556</v>
      </c>
    </row>
    <row r="101" customFormat="1" s="32">
      <c r="A101" s="55">
        <f>A100+1</f>
        <v/>
      </c>
      <c r="C101" s="55" t="inlineStr">
        <is>
          <t>S:\Adhoc\Davin\ESPACE\EREPORT\REVENUE_DB\Program</t>
        </is>
      </c>
      <c r="D101" s="55" t="inlineStr">
        <is>
          <t>Revenue_Main_SG.txt</t>
        </is>
      </c>
      <c r="E101" s="55" t="inlineStr">
        <is>
          <t>Report - Revenue Report</t>
        </is>
      </c>
      <c r="G101" s="55" t="inlineStr">
        <is>
          <t>mary</t>
        </is>
      </c>
      <c r="I101" s="55" t="n">
        <v>597</v>
      </c>
    </row>
    <row r="102" customFormat="1" s="32">
      <c r="A102" s="55">
        <f>A101+1</f>
        <v/>
      </c>
      <c r="B102" s="55" t="inlineStr">
        <is>
          <t>RMG Customer Group Mapping</t>
        </is>
      </c>
      <c r="C102" s="55" t="inlineStr">
        <is>
          <t>S:\Revenue by RM\Report\Analysis\</t>
        </is>
      </c>
      <c r="D102" s="55" t="inlineStr">
        <is>
          <t>RMG_Group_Mapping2.txt</t>
        </is>
      </c>
      <c r="E102" s="41" t="inlineStr">
        <is>
          <t>It generates the list of RMG group mapping and compare with WBG Group mapping</t>
        </is>
      </c>
      <c r="F102" s="55" t="n"/>
      <c r="G102" s="55" t="inlineStr">
        <is>
          <t>josh</t>
        </is>
      </c>
      <c r="I102" s="55" t="n">
        <v>172</v>
      </c>
      <c r="J102" s="55" t="inlineStr">
        <is>
          <t>Y</t>
        </is>
      </c>
    </row>
    <row r="103" customFormat="1" s="32">
      <c r="A103" s="55">
        <f>A102+1</f>
        <v/>
      </c>
      <c r="B103" s="55" t="inlineStr">
        <is>
          <t>SBLC report</t>
        </is>
      </c>
      <c r="C103" s="55" t="inlineStr">
        <is>
          <t>S:\Revenue by RM\Report\Analysis\</t>
        </is>
      </c>
      <c r="D103" s="55" t="inlineStr">
        <is>
          <t>SBLC_by_Issuer4.txt</t>
        </is>
      </c>
      <c r="E103" s="41" t="inlineStr">
        <is>
          <t>It generates the SBLC report</t>
        </is>
      </c>
      <c r="F103" s="55" t="n"/>
      <c r="G103" s="55" t="inlineStr">
        <is>
          <t>josh</t>
        </is>
      </c>
      <c r="I103" s="55" t="n">
        <v>429</v>
      </c>
      <c r="J103" s="55" t="inlineStr">
        <is>
          <t>Y</t>
        </is>
      </c>
    </row>
    <row r="104" customFormat="1" s="32">
      <c r="A104" s="55">
        <f>A103+1</f>
        <v/>
      </c>
      <c r="B104" s="55" t="inlineStr">
        <is>
          <t>Standby LC/LG Turnover</t>
        </is>
      </c>
      <c r="C104" s="55" t="inlineStr">
        <is>
          <t>S:\Revenue by RM\Report\Analysis\</t>
        </is>
      </c>
      <c r="D104" s="55" t="inlineStr">
        <is>
          <t>SBLCLG_Turnover.txt</t>
        </is>
      </c>
      <c r="E104" s="41" t="inlineStr">
        <is>
          <t>SBLCLG Turnover report</t>
        </is>
      </c>
      <c r="F104" s="55" t="n"/>
      <c r="G104" s="55" t="inlineStr">
        <is>
          <t>josh</t>
        </is>
      </c>
      <c r="I104" s="55" t="n">
        <v>128</v>
      </c>
      <c r="J104" s="55" t="inlineStr">
        <is>
          <t>Y</t>
        </is>
      </c>
    </row>
    <row r="105" customFormat="1" s="32">
      <c r="A105" s="55">
        <f>A104+1</f>
        <v/>
      </c>
      <c r="B105" s="55" t="inlineStr">
        <is>
          <t>SF CASA Trend Report</t>
        </is>
      </c>
      <c r="C105" s="55" t="inlineStr">
        <is>
          <t>S:\Revenue by RM\Report\Analysis\</t>
        </is>
      </c>
      <c r="D105" s="55" t="inlineStr">
        <is>
          <t>SF_CASA_Trend.txt</t>
        </is>
      </c>
      <c r="E105" s="55" t="inlineStr">
        <is>
          <t>SF CASA Trend Report</t>
        </is>
      </c>
      <c r="F105" s="55" t="n"/>
      <c r="G105" s="55" t="inlineStr">
        <is>
          <t>josh</t>
        </is>
      </c>
      <c r="I105" s="55" t="n">
        <v>242</v>
      </c>
      <c r="J105" s="55" t="inlineStr">
        <is>
          <t>Y</t>
        </is>
      </c>
    </row>
    <row r="106" customFormat="1" s="32">
      <c r="A106" s="55">
        <f>A105+1</f>
        <v/>
      </c>
      <c r="B106" s="55" t="inlineStr">
        <is>
          <t>SG Bal</t>
        </is>
      </c>
      <c r="C106" s="55" t="inlineStr">
        <is>
          <t>S:\Revenue by RM\Report\Analysis\</t>
        </is>
      </c>
      <c r="D106" s="55" t="inlineStr">
        <is>
          <t>SG_Bal.txt</t>
        </is>
      </c>
      <c r="E106" s="41" t="inlineStr">
        <is>
          <t>SG Loan &amp; Deposit Balance Report</t>
        </is>
      </c>
      <c r="F106" s="55" t="n"/>
      <c r="G106" s="55" t="inlineStr">
        <is>
          <t>josh</t>
        </is>
      </c>
      <c r="I106" s="55" t="n">
        <v>285</v>
      </c>
      <c r="J106" s="55" t="inlineStr">
        <is>
          <t>Y</t>
        </is>
      </c>
    </row>
    <row r="107" customFormat="1" s="32">
      <c r="A107" s="55">
        <f>A106+1</f>
        <v/>
      </c>
      <c r="B107" s="55" t="inlineStr">
        <is>
          <t>Loan SOE POE Report</t>
        </is>
      </c>
      <c r="C107" s="55" t="inlineStr">
        <is>
          <t>S:\Revenue by RM\Report\Analysis\</t>
        </is>
      </c>
      <c r="D107" s="55" t="inlineStr">
        <is>
          <t>SOE_POE_Loan.txt</t>
        </is>
      </c>
      <c r="E107" s="41" t="inlineStr">
        <is>
          <t>Loan Category by SOE &amp; POE</t>
        </is>
      </c>
      <c r="F107" s="55" t="n"/>
      <c r="G107" s="55" t="inlineStr">
        <is>
          <t>josh</t>
        </is>
      </c>
      <c r="I107" s="55" t="n">
        <v>216</v>
      </c>
      <c r="J107" s="55" t="inlineStr">
        <is>
          <t>Y</t>
        </is>
      </c>
    </row>
    <row r="108" customFormat="1" s="32">
      <c r="A108" s="55">
        <f>A107+1</f>
        <v/>
      </c>
      <c r="B108" s="55" t="inlineStr">
        <is>
          <t>Custody Trend  Report</t>
        </is>
      </c>
      <c r="C108" s="55" t="inlineStr">
        <is>
          <t>S:\Revenue by RM\Report\Analysis\</t>
        </is>
      </c>
      <c r="D108" s="55" t="inlineStr">
        <is>
          <t>SS_Trustee_Trend.txt</t>
        </is>
      </c>
      <c r="E108" s="41" t="inlineStr">
        <is>
          <t>Custody NII Trend Report</t>
        </is>
      </c>
      <c r="F108" s="55" t="n"/>
      <c r="G108" s="55" t="inlineStr">
        <is>
          <t>josh</t>
        </is>
      </c>
      <c r="I108" s="55" t="n">
        <v>151</v>
      </c>
      <c r="J108" s="55" t="inlineStr">
        <is>
          <t>Y</t>
        </is>
      </c>
    </row>
    <row r="109" customFormat="1" s="32">
      <c r="A109" s="55">
        <f>A108+1</f>
        <v/>
      </c>
      <c r="B109" s="55" t="inlineStr">
        <is>
          <t>Report - Revenue Report</t>
        </is>
      </c>
      <c r="C109" s="55" t="inlineStr">
        <is>
          <t>S:\Adhoc\Davin\ESPACE\EREPORT\REVENUE_DB\Program</t>
        </is>
      </c>
      <c r="D109" s="55" t="inlineStr">
        <is>
          <t>Syn_Loan_Bal_HK.txt</t>
        </is>
      </c>
      <c r="E109" s="55" t="inlineStr">
        <is>
          <t>Report - Revenue Report</t>
        </is>
      </c>
      <c r="G109" s="55" t="inlineStr">
        <is>
          <t>mary</t>
        </is>
      </c>
      <c r="I109" s="55" t="n">
        <v>175</v>
      </c>
    </row>
    <row r="110" ht="28.95" customFormat="1" customHeight="1" s="32">
      <c r="A110" s="55">
        <f>A109+1</f>
        <v/>
      </c>
      <c r="B110" s="39" t="inlineStr">
        <is>
          <t>Monthly Report for TB</t>
        </is>
      </c>
      <c r="C110" s="55" t="inlineStr">
        <is>
          <t>S:\Revenue by RM\Report\Analysis\</t>
        </is>
      </c>
      <c r="D110" s="41" t="inlineStr">
        <is>
          <t>Trade_Info.txt</t>
        </is>
      </c>
      <c r="E110" s="41" t="inlineStr">
        <is>
          <t>Monthly report for TB, including Remittance, Trade NII, CASA NII, Bills Commission &amp; Turnover</t>
        </is>
      </c>
      <c r="F110" s="55" t="n"/>
      <c r="G110" s="55" t="inlineStr">
        <is>
          <t>josh</t>
        </is>
      </c>
      <c r="I110" s="55" t="n">
        <v>518</v>
      </c>
      <c r="J110" s="55" t="inlineStr">
        <is>
          <t>Y</t>
        </is>
      </c>
    </row>
    <row r="111" customFormat="1" s="32">
      <c r="D111" s="41" t="inlineStr">
        <is>
          <t>TB_SBLC_Info.txt</t>
        </is>
      </c>
      <c r="F111" s="55" t="n"/>
      <c r="G111" s="55" t="inlineStr">
        <is>
          <t>josh</t>
        </is>
      </c>
      <c r="I111" s="55" t="n">
        <v>361</v>
      </c>
      <c r="J111" s="55" t="inlineStr">
        <is>
          <t>Y</t>
        </is>
      </c>
    </row>
    <row r="112" customFormat="1" s="32">
      <c r="D112" s="41" t="inlineStr">
        <is>
          <t>TB_Standby_LCLG.txt</t>
        </is>
      </c>
      <c r="F112" s="55" t="n"/>
      <c r="G112" s="55" t="inlineStr">
        <is>
          <t>josh</t>
        </is>
      </c>
      <c r="I112" s="55" t="n">
        <v>20</v>
      </c>
      <c r="J112" s="55" t="inlineStr">
        <is>
          <t>Y</t>
        </is>
      </c>
    </row>
    <row r="113" customFormat="1" s="32">
      <c r="A113" s="55">
        <f>A110+1</f>
        <v/>
      </c>
      <c r="B113" s="39" t="inlineStr">
        <is>
          <t>Treasury Maturity Report</t>
        </is>
      </c>
      <c r="C113" s="55" t="inlineStr">
        <is>
          <t>S:\Revenue by RM\Report\Analysis\</t>
        </is>
      </c>
      <c r="D113" s="55" t="inlineStr">
        <is>
          <t>Treasury_Maturity.txt</t>
        </is>
      </c>
      <c r="E113" s="41" t="inlineStr">
        <is>
          <t>Treasury Shadow Maturity Trend Report</t>
        </is>
      </c>
      <c r="F113" s="55" t="n"/>
      <c r="G113" s="55" t="inlineStr">
        <is>
          <t>josh</t>
        </is>
      </c>
      <c r="I113" s="55" t="n">
        <v>413</v>
      </c>
      <c r="J113" s="55" t="inlineStr">
        <is>
          <t>Y</t>
        </is>
      </c>
    </row>
    <row r="114" customFormat="1" s="32">
      <c r="A114" s="55">
        <f>A113+1</f>
        <v/>
      </c>
      <c r="B114" s="39" t="inlineStr">
        <is>
          <t>Treasury Trend Report</t>
        </is>
      </c>
      <c r="C114" s="55" t="inlineStr">
        <is>
          <t>S:\Revenue by RM\Report\Analysis\</t>
        </is>
      </c>
      <c r="D114" s="55" t="inlineStr">
        <is>
          <t>Treasury_Related_Trend.txt</t>
        </is>
      </c>
      <c r="E114" s="41" t="inlineStr">
        <is>
          <t>Treausury Shadow Trend report to MGs</t>
        </is>
      </c>
      <c r="F114" s="55" t="n"/>
      <c r="G114" s="55" t="inlineStr">
        <is>
          <t>josh</t>
        </is>
      </c>
      <c r="I114" s="55" t="n">
        <v>903</v>
      </c>
      <c r="J114" s="55" t="inlineStr">
        <is>
          <t>Y</t>
        </is>
      </c>
    </row>
    <row r="115" customFormat="1" s="32">
      <c r="A115" s="55">
        <f>A114+1</f>
        <v/>
      </c>
      <c r="B115" s="39" t="inlineStr">
        <is>
          <t>Treasury Shadow Report</t>
        </is>
      </c>
      <c r="C115" s="55" t="inlineStr">
        <is>
          <t>S:\Revenue by RM\Report\Analysis\</t>
        </is>
      </c>
      <c r="D115" s="55" t="inlineStr">
        <is>
          <t>Treasury_Shadow_Income.txt</t>
        </is>
      </c>
      <c r="E115" s="41" t="inlineStr">
        <is>
          <t>Generate Treasury report from FMG's data source file</t>
        </is>
      </c>
      <c r="F115" s="55" t="n"/>
      <c r="G115" s="55" t="inlineStr">
        <is>
          <t>josh</t>
        </is>
      </c>
      <c r="I115" s="55" t="n">
        <v>475</v>
      </c>
      <c r="J115" s="55" t="inlineStr">
        <is>
          <t>Y</t>
        </is>
      </c>
    </row>
    <row r="116" customFormat="1" s="32">
      <c r="A116" s="55">
        <f>A115+1</f>
        <v/>
      </c>
      <c r="B116" s="55" t="inlineStr">
        <is>
          <t>Unfunded Risk Partipation report</t>
        </is>
      </c>
      <c r="C116" s="55" t="inlineStr">
        <is>
          <t>S:\Revenue by RM\Report\Analysis\</t>
        </is>
      </c>
      <c r="D116" s="55" t="inlineStr">
        <is>
          <t>Unfunded_RP_Projection.txt</t>
        </is>
      </c>
      <c r="E116" s="41" t="inlineStr">
        <is>
          <t>Unfunded RP Projected Commission report</t>
        </is>
      </c>
      <c r="F116" s="55" t="n"/>
      <c r="G116" s="55" t="inlineStr">
        <is>
          <t>josh</t>
        </is>
      </c>
      <c r="I116" s="55" t="n">
        <v>80</v>
      </c>
      <c r="J116" s="55" t="inlineStr">
        <is>
          <t>Y</t>
        </is>
      </c>
    </row>
    <row r="117" customFormat="1" s="32">
      <c r="A117" s="55">
        <f>A116+1</f>
        <v/>
      </c>
      <c r="B117" s="55" t="inlineStr">
        <is>
          <t>US Profitability Report</t>
        </is>
      </c>
      <c r="C117" s="55" t="inlineStr">
        <is>
          <t>S:\Revenue by RM\Report\Analysis\</t>
        </is>
      </c>
      <c r="D117" s="55" t="inlineStr">
        <is>
          <t>US_TP3.txt</t>
        </is>
      </c>
      <c r="E117" s="41" t="inlineStr">
        <is>
          <t>US CPR Report</t>
        </is>
      </c>
      <c r="F117" s="55" t="n"/>
      <c r="G117" s="55" t="inlineStr">
        <is>
          <t>josh</t>
        </is>
      </c>
      <c r="I117" s="55" t="n">
        <v>511</v>
      </c>
      <c r="J117" s="55" t="inlineStr">
        <is>
          <t>Y</t>
        </is>
      </c>
    </row>
    <row r="118" customFormat="1" s="32">
      <c r="A118" s="55">
        <f>A117+1</f>
        <v/>
      </c>
      <c r="B118" s="55" t="inlineStr">
        <is>
          <t>YTD Bill Turnover</t>
        </is>
      </c>
      <c r="C118" s="55" t="inlineStr">
        <is>
          <t>S:\Revenue by RM\Report\Analysis\</t>
        </is>
      </c>
      <c r="D118" s="55" t="inlineStr">
        <is>
          <t>YTD_Turnover.txt</t>
        </is>
      </c>
      <c r="E118" s="41" t="inlineStr">
        <is>
          <t>Bills Turnover by Month</t>
        </is>
      </c>
      <c r="F118" s="55" t="n"/>
      <c r="G118" s="55" t="inlineStr">
        <is>
          <t>josh</t>
        </is>
      </c>
      <c r="I118" s="55" t="n">
        <v>343</v>
      </c>
      <c r="J118" s="55" t="inlineStr">
        <is>
          <t>Y</t>
        </is>
      </c>
    </row>
    <row r="119" customFormat="1" s="32">
      <c r="A119" s="55" t="n"/>
      <c r="B119" s="55" t="n"/>
      <c r="C119" s="55" t="n"/>
      <c r="D119" s="55" t="n"/>
      <c r="E119" s="55" t="n"/>
      <c r="I119" s="55" t="n"/>
    </row>
    <row r="120">
      <c r="E120" s="55" t="n"/>
    </row>
    <row r="121">
      <c r="C121" s="43" t="inlineStr">
        <is>
          <t>Total Programs</t>
        </is>
      </c>
      <c r="D121" s="43" t="n">
        <v>117</v>
      </c>
    </row>
    <row r="122">
      <c r="H122" s="28" t="inlineStr">
        <is>
          <t>Row in total</t>
        </is>
      </c>
      <c r="I122" s="28">
        <f>SUM(I2:I118)</f>
        <v/>
      </c>
    </row>
  </sheetData>
  <autoFilter ref="A1:I118"/>
  <mergeCells count="11">
    <mergeCell ref="A94:A95"/>
    <mergeCell ref="B110:B112"/>
    <mergeCell ref="B97:B101"/>
    <mergeCell ref="A110:A112"/>
    <mergeCell ref="C110:C112"/>
    <mergeCell ref="E110:E112"/>
    <mergeCell ref="B33:B37"/>
    <mergeCell ref="B4:B8"/>
    <mergeCell ref="E94:E95"/>
    <mergeCell ref="B94:B95"/>
    <mergeCell ref="C94:C9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70" zoomScaleNormal="70" workbookViewId="0">
      <selection activeCell="B2" sqref="B2"/>
    </sheetView>
  </sheetViews>
  <sheetFormatPr baseColWidth="8" defaultColWidth="9" defaultRowHeight="14" outlineLevelRow="4"/>
  <cols>
    <col width="8.66666666666667" customWidth="1" style="57" min="1" max="1"/>
    <col width="24.4416666666667" customWidth="1" style="57" min="2" max="2"/>
    <col width="48.8833333333333" customWidth="1" style="57" min="3" max="3"/>
    <col width="14" customWidth="1" style="57" min="4" max="4"/>
    <col width="24.4416666666667" customWidth="1" style="57" min="5" max="5"/>
    <col width="14.6666666666667" customWidth="1" style="57" min="6" max="6"/>
    <col width="30.6666666666667" customWidth="1" style="57" min="7" max="8"/>
    <col width="12" customWidth="1" style="57" min="9" max="9"/>
    <col width="26.6666666666667" customWidth="1" style="57" min="10" max="10"/>
  </cols>
  <sheetData>
    <row r="1" customFormat="1" s="21">
      <c r="A1" s="21" t="inlineStr">
        <is>
          <t>Item No.</t>
        </is>
      </c>
      <c r="B1" s="21" t="inlineStr">
        <is>
          <t>Task</t>
        </is>
      </c>
      <c r="C1" s="21" t="inlineStr">
        <is>
          <t>Path</t>
        </is>
      </c>
      <c r="D1" s="21" t="inlineStr">
        <is>
          <t>Program</t>
        </is>
      </c>
      <c r="E1" s="23" t="inlineStr">
        <is>
          <t>Comments</t>
        </is>
      </c>
      <c r="F1" s="21" t="inlineStr">
        <is>
          <t>is_Complicated</t>
        </is>
      </c>
      <c r="G1" s="21" t="inlineStr">
        <is>
          <t>XX Program owner (josh/mary)</t>
        </is>
      </c>
      <c r="H1" s="21" t="inlineStr">
        <is>
          <t>Associated data table names</t>
        </is>
      </c>
      <c r="I1" s="36" t="inlineStr">
        <is>
          <t>Row in XX</t>
        </is>
      </c>
      <c r="J1" s="21" t="inlineStr">
        <is>
          <t>Main Program Indicator</t>
        </is>
      </c>
    </row>
    <row r="2" ht="84" customHeight="1" s="57">
      <c r="A2" t="n">
        <v>1</v>
      </c>
      <c r="B2" s="31" t="inlineStr">
        <is>
          <t>RMG Top 20 concentration</t>
        </is>
      </c>
      <c r="C2" t="inlineStr">
        <is>
          <t>S:\Adhoc\Davin\ESPACE\Regular_Report\Risk_Top20</t>
        </is>
      </c>
      <c r="D2" t="inlineStr">
        <is>
          <t>Risk_top20.txt</t>
        </is>
      </c>
      <c r="E2" t="inlineStr">
        <is>
          <t>RMG Top 20 concentration</t>
        </is>
      </c>
      <c r="G2" t="inlineStr">
        <is>
          <t>mary</t>
        </is>
      </c>
      <c r="H2" s="25" t="inlineStr">
        <is>
          <t>Result tables from programs:
$XX_Get_Revenue_HK.XX
$XX_Get_Revenue_SG.XX
$XX_Get_Revenue_MO.XX
$XX_Get_Revenue_NY.XX
$XX_Get_Revenue_LA.XX</t>
        </is>
      </c>
      <c r="I2" t="n">
        <v>85</v>
      </c>
      <c r="J2" t="inlineStr">
        <is>
          <t>Y</t>
        </is>
      </c>
    </row>
    <row r="3"/>
    <row r="4" ht="14.25" customHeight="1" s="57">
      <c r="C4" s="27" t="inlineStr">
        <is>
          <t>Total Programs</t>
        </is>
      </c>
      <c r="D4" s="27" t="n">
        <v>1</v>
      </c>
    </row>
    <row r="5">
      <c r="H5" s="28" t="inlineStr">
        <is>
          <t>Row in total</t>
        </is>
      </c>
      <c r="I5" s="28" t="n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"/>
  <sheetViews>
    <sheetView topLeftCell="C1" zoomScale="70" zoomScaleNormal="70" workbookViewId="0">
      <selection activeCell="D7" sqref="D7"/>
    </sheetView>
  </sheetViews>
  <sheetFormatPr baseColWidth="8" defaultColWidth="9" defaultRowHeight="14"/>
  <cols>
    <col width="8.66666666666667" customWidth="1" style="57" min="1" max="1"/>
    <col width="35.3333333333333" customWidth="1" style="57" min="2" max="2"/>
    <col width="64.3333333333333" customWidth="1" style="57" min="3" max="3"/>
    <col width="38.5583333333333" customWidth="1" style="57" min="4" max="4"/>
    <col width="64.55833333333329" customWidth="1" style="57" min="5" max="5"/>
    <col width="14.6666666666667" customWidth="1" style="57" min="6" max="6"/>
    <col width="17.1083333333333" customWidth="1" style="57" min="7" max="7"/>
    <col width="25.4416666666667" customWidth="1" style="57" min="8" max="8"/>
    <col width="15.4416666666667" customWidth="1" style="55" min="9" max="9"/>
    <col width="22.1083333333333" customWidth="1" style="57" min="10" max="10"/>
  </cols>
  <sheetData>
    <row r="1" customFormat="1" s="21">
      <c r="A1" s="21" t="inlineStr">
        <is>
          <t>Item No.</t>
        </is>
      </c>
      <c r="B1" s="21" t="inlineStr">
        <is>
          <t>Task</t>
        </is>
      </c>
      <c r="C1" s="21" t="inlineStr">
        <is>
          <t>Path</t>
        </is>
      </c>
      <c r="D1" s="21" t="inlineStr">
        <is>
          <t>Program</t>
        </is>
      </c>
      <c r="E1" s="23" t="inlineStr">
        <is>
          <t>Comments</t>
        </is>
      </c>
      <c r="F1" s="21" t="inlineStr">
        <is>
          <t>is_Complicated</t>
        </is>
      </c>
      <c r="G1" s="21" t="inlineStr">
        <is>
          <t>XX Program owner (josh/mary)</t>
        </is>
      </c>
      <c r="H1" s="21" t="inlineStr">
        <is>
          <t>Associated data table names</t>
        </is>
      </c>
      <c r="I1" s="36" t="inlineStr">
        <is>
          <t>Row in XX</t>
        </is>
      </c>
      <c r="J1" s="21" t="inlineStr">
        <is>
          <t>Main Program Indicator</t>
        </is>
      </c>
    </row>
    <row r="2">
      <c r="A2" t="n">
        <v>1</v>
      </c>
      <c r="B2" t="inlineStr">
        <is>
          <t>ABC Customer List (to TMG Frank)</t>
        </is>
      </c>
      <c r="C2" t="inlineStr">
        <is>
          <t>S:\Revenue by RM\Report\Analysis\</t>
        </is>
      </c>
      <c r="D2" t="inlineStr">
        <is>
          <t>ABC_List_to_Frank.txt</t>
        </is>
      </c>
      <c r="E2" s="25" t="inlineStr">
        <is>
          <t>Generate a ABC customer list to Frank</t>
        </is>
      </c>
      <c r="G2" s="55" t="inlineStr">
        <is>
          <t>josh</t>
        </is>
      </c>
      <c r="I2" s="55" t="n">
        <v>115</v>
      </c>
      <c r="J2" t="inlineStr">
        <is>
          <t>Y</t>
        </is>
      </c>
    </row>
    <row r="3">
      <c r="A3">
        <f>A2+1</f>
        <v/>
      </c>
      <c r="B3" t="inlineStr">
        <is>
          <t>TB KPI Remap</t>
        </is>
      </c>
      <c r="C3" t="inlineStr">
        <is>
          <t>S:\Revenue by RM\Report\Analysis\</t>
        </is>
      </c>
      <c r="D3" t="inlineStr">
        <is>
          <t>TB_KPI_Remapped.txt</t>
        </is>
      </c>
      <c r="E3" s="25" t="inlineStr">
        <is>
          <t>Remap the RM information and generate the TB KPI report</t>
        </is>
      </c>
      <c r="G3" s="55" t="inlineStr">
        <is>
          <t>josh</t>
        </is>
      </c>
      <c r="I3" s="55" t="n">
        <v>123</v>
      </c>
      <c r="J3" t="inlineStr">
        <is>
          <t>Y</t>
        </is>
      </c>
    </row>
    <row r="4">
      <c r="A4">
        <f>A3+1</f>
        <v/>
      </c>
      <c r="B4" t="inlineStr">
        <is>
          <t>Weighted Average Tenor</t>
        </is>
      </c>
      <c r="C4" t="inlineStr">
        <is>
          <t>S:\Revenue by RM\Report\Analysis\</t>
        </is>
      </c>
      <c r="D4" t="inlineStr">
        <is>
          <t>Weighted_Tenor.txt</t>
        </is>
      </c>
      <c r="E4" t="inlineStr">
        <is>
          <t>Loan weighted average tenor</t>
        </is>
      </c>
      <c r="G4" s="55" t="inlineStr">
        <is>
          <t>josh</t>
        </is>
      </c>
      <c r="I4" s="55" t="n">
        <v>276</v>
      </c>
      <c r="J4" t="inlineStr">
        <is>
          <t>Y</t>
        </is>
      </c>
    </row>
    <row r="5">
      <c r="A5">
        <f>A4+1</f>
        <v/>
      </c>
      <c r="B5" t="inlineStr">
        <is>
          <t>3/4 party Loan Report</t>
        </is>
      </c>
      <c r="C5" t="inlineStr">
        <is>
          <t>S:\Revenue by RM\Report\Analysis\</t>
        </is>
      </c>
      <c r="D5" t="inlineStr">
        <is>
          <t>Loan_3_4_Pag.txt</t>
        </is>
      </c>
      <c r="E5" s="25" t="inlineStr">
        <is>
          <t>3/4 party report for product cap monitoring purpose</t>
        </is>
      </c>
      <c r="G5" s="55" t="inlineStr">
        <is>
          <t>josh</t>
        </is>
      </c>
      <c r="I5" s="55" t="n">
        <v>133</v>
      </c>
      <c r="J5" t="inlineStr">
        <is>
          <t>Y</t>
        </is>
      </c>
    </row>
    <row r="6">
      <c r="A6">
        <f>A5+1</f>
        <v/>
      </c>
      <c r="B6" t="inlineStr">
        <is>
          <t>Liquidity Position Report</t>
        </is>
      </c>
      <c r="C6" t="inlineStr">
        <is>
          <t>S:\Revenue by RM\Report\Analysis\</t>
        </is>
      </c>
      <c r="D6" t="inlineStr">
        <is>
          <t>Liquidity_Position_Actual_Movement.txt</t>
        </is>
      </c>
      <c r="E6" t="inlineStr">
        <is>
          <t>Bi-weekly Liquidify Position Report</t>
        </is>
      </c>
      <c r="G6" s="55" t="inlineStr">
        <is>
          <t>josh</t>
        </is>
      </c>
      <c r="I6" s="55" t="n">
        <v>557</v>
      </c>
      <c r="J6" t="inlineStr">
        <is>
          <t>Y</t>
        </is>
      </c>
    </row>
    <row r="7">
      <c r="A7">
        <f>A6+1</f>
        <v/>
      </c>
      <c r="B7" t="inlineStr">
        <is>
          <t>SF Loan Facility</t>
        </is>
      </c>
      <c r="C7" t="inlineStr">
        <is>
          <t>S:\Revenue by RM\Report\Analysis\</t>
        </is>
      </c>
      <c r="D7" t="inlineStr">
        <is>
          <t>SF_Loan_Facility_HKOV.txt</t>
        </is>
      </c>
      <c r="E7" s="25" t="inlineStr">
        <is>
          <t>SF Loan Facility (HK+OV) to SF team</t>
        </is>
      </c>
      <c r="G7" s="55" t="inlineStr">
        <is>
          <t>josh</t>
        </is>
      </c>
      <c r="I7" s="55" t="n">
        <v>356</v>
      </c>
      <c r="J7" t="inlineStr">
        <is>
          <t>Y</t>
        </is>
      </c>
    </row>
    <row r="8">
      <c r="A8">
        <f>A7+1</f>
        <v/>
      </c>
      <c r="B8" t="inlineStr">
        <is>
          <t>Top Analysis Report</t>
        </is>
      </c>
      <c r="C8" t="inlineStr">
        <is>
          <t>S:\Revenue by RM\Report\Analysis\</t>
        </is>
      </c>
      <c r="D8" t="inlineStr">
        <is>
          <t>Top_Analysis.txt</t>
        </is>
      </c>
      <c r="E8" t="inlineStr">
        <is>
          <t>Top Analysis by Customer &amp; Group</t>
        </is>
      </c>
      <c r="G8" s="55" t="inlineStr">
        <is>
          <t>josh</t>
        </is>
      </c>
      <c r="I8" s="55" t="n">
        <v>105</v>
      </c>
      <c r="J8" t="inlineStr">
        <is>
          <t>Y</t>
        </is>
      </c>
    </row>
    <row r="9">
      <c r="A9">
        <f>A8+1</f>
        <v/>
      </c>
      <c r="B9" t="inlineStr">
        <is>
          <t>Revenue Report from New Group</t>
        </is>
      </c>
      <c r="C9" t="inlineStr">
        <is>
          <t>S:\Revenue by RM\Report\Analysis\</t>
        </is>
      </c>
      <c r="D9" t="inlineStr">
        <is>
          <t>New_Customer_YTD_Revenue.txt</t>
        </is>
      </c>
      <c r="E9" s="25" t="inlineStr">
        <is>
          <t>Revenue report from New Customer Group</t>
        </is>
      </c>
      <c r="G9" s="55" t="inlineStr">
        <is>
          <t>josh</t>
        </is>
      </c>
      <c r="I9" s="55" t="n">
        <v>529</v>
      </c>
      <c r="J9" t="inlineStr">
        <is>
          <t>Y</t>
        </is>
      </c>
    </row>
    <row r="10">
      <c r="A10">
        <f>A9+1</f>
        <v/>
      </c>
      <c r="B10" t="inlineStr">
        <is>
          <t>REF Dimension Report</t>
        </is>
      </c>
      <c r="C10" t="inlineStr">
        <is>
          <t>S:\Revenue by RM\Report\Analysis\</t>
        </is>
      </c>
      <c r="D10" t="inlineStr">
        <is>
          <t>REF_Dimension_Checking.txt</t>
        </is>
      </c>
      <c r="E10" t="inlineStr">
        <is>
          <t>REF Dimension 2nd party checking report</t>
        </is>
      </c>
      <c r="G10" s="55" t="inlineStr">
        <is>
          <t>josh</t>
        </is>
      </c>
      <c r="I10" s="55" t="n">
        <v>144</v>
      </c>
      <c r="J10" t="inlineStr">
        <is>
          <t>Y</t>
        </is>
      </c>
    </row>
    <row r="11">
      <c r="A11">
        <f>A10+1</f>
        <v/>
      </c>
      <c r="B11" s="26" t="inlineStr">
        <is>
          <t>Country Search</t>
        </is>
      </c>
      <c r="C11" t="inlineStr">
        <is>
          <t>S:\Revenue by RM\Report\Analysis\</t>
        </is>
      </c>
      <c r="D11" t="inlineStr">
        <is>
          <t>Country_Search2.txt</t>
        </is>
      </c>
      <c r="E11" s="25" t="inlineStr">
        <is>
          <t>Risk Country, incorporation location &amp; loan usage country checking</t>
        </is>
      </c>
      <c r="G11" s="55" t="inlineStr">
        <is>
          <t>josh</t>
        </is>
      </c>
      <c r="I11" s="55" t="n">
        <v>270</v>
      </c>
      <c r="J11" t="inlineStr">
        <is>
          <t>Y</t>
        </is>
      </c>
    </row>
    <row r="12">
      <c r="A12">
        <f>A11+1</f>
        <v/>
      </c>
      <c r="B12" t="inlineStr">
        <is>
          <t>Customer List checking for BCM</t>
        </is>
      </c>
      <c r="C12" t="inlineStr">
        <is>
          <t>S:\Revenue by RM\Report\Analysis\</t>
        </is>
      </c>
      <c r="D12" t="inlineStr">
        <is>
          <t>WBG Customer_Emily.txt</t>
        </is>
      </c>
      <c r="E12" t="inlineStr">
        <is>
          <t>A customer list checking report for BCM</t>
        </is>
      </c>
      <c r="G12" s="55" t="inlineStr">
        <is>
          <t>josh</t>
        </is>
      </c>
      <c r="I12" s="55" t="n">
        <v>172</v>
      </c>
      <c r="J12" t="inlineStr">
        <is>
          <t>Y</t>
        </is>
      </c>
    </row>
    <row r="13">
      <c r="A13">
        <f>A12+1</f>
        <v/>
      </c>
      <c r="B13" t="inlineStr">
        <is>
          <t>CRM Revenue Report</t>
        </is>
      </c>
      <c r="C13" t="inlineStr">
        <is>
          <t>S:\Adhoc\Davin\ESPACE\Regular_Report\CRM_Revenue</t>
        </is>
      </c>
      <c r="D13" t="inlineStr">
        <is>
          <t>crm_us_gl_mapping.txt</t>
        </is>
      </c>
      <c r="E13" t="inlineStr">
        <is>
          <t>CRM Revenue Report</t>
        </is>
      </c>
      <c r="G13" t="inlineStr">
        <is>
          <t>mary</t>
        </is>
      </c>
      <c r="I13" s="55" t="n">
        <v>66</v>
      </c>
      <c r="J13" t="inlineStr">
        <is>
          <t>Y</t>
        </is>
      </c>
    </row>
    <row r="14">
      <c r="A14">
        <f>A13+1</f>
        <v/>
      </c>
      <c r="B14" t="inlineStr">
        <is>
          <t>Deposit Movement Alert</t>
        </is>
      </c>
      <c r="C14" t="inlineStr">
        <is>
          <t>S:\Adhoc\Davin\ESPACE\Regular_Report\Deposit_Altert_Contact_List</t>
        </is>
      </c>
      <c r="D14" t="inlineStr">
        <is>
          <t>Deposit alert contact list.txt</t>
        </is>
      </c>
      <c r="E14" t="inlineStr">
        <is>
          <t>Deposit Movement Alert</t>
        </is>
      </c>
      <c r="G14" t="inlineStr">
        <is>
          <t>mary</t>
        </is>
      </c>
      <c r="I14" s="55" t="n">
        <v>19</v>
      </c>
      <c r="J14" t="inlineStr">
        <is>
          <t>Y</t>
        </is>
      </c>
    </row>
    <row r="15">
      <c r="A15">
        <f>A14+1</f>
        <v/>
      </c>
      <c r="B15" t="inlineStr">
        <is>
          <t>Holiday Table for FD deal</t>
        </is>
      </c>
      <c r="C15" t="inlineStr">
        <is>
          <t>S:\Adhoc\Davin\ESPACE\Regular_Report\Holiday_Table</t>
        </is>
      </c>
      <c r="D15" t="inlineStr">
        <is>
          <t>$Holiday_Table_Run.txt</t>
        </is>
      </c>
      <c r="E15" t="inlineStr">
        <is>
          <t>Holiday Table for FD deal</t>
        </is>
      </c>
      <c r="G15" t="inlineStr">
        <is>
          <t>mary</t>
        </is>
      </c>
      <c r="I15" s="55" t="n">
        <v>40</v>
      </c>
      <c r="J15" t="inlineStr">
        <is>
          <t>Y</t>
        </is>
      </c>
    </row>
    <row r="16"/>
    <row r="17">
      <c r="C17" s="27" t="inlineStr">
        <is>
          <t>Total Programs</t>
        </is>
      </c>
      <c r="D17" s="27" t="n">
        <v>14</v>
      </c>
    </row>
    <row r="18">
      <c r="H18" s="28" t="inlineStr">
        <is>
          <t>Row in total</t>
        </is>
      </c>
      <c r="I18" s="29">
        <f>SUM(I2:I15)</f>
        <v/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G86" s="30" t="n"/>
      <c r="H86" s="30" t="n"/>
    </row>
    <row r="87">
      <c r="G87" s="30" t="n"/>
      <c r="H87" s="30" t="n"/>
    </row>
    <row r="88">
      <c r="G88" s="30" t="n"/>
      <c r="H88" s="30" t="n"/>
    </row>
    <row r="89">
      <c r="G89" s="30" t="n"/>
      <c r="H89" s="30" t="n"/>
    </row>
    <row r="90">
      <c r="G90" s="30" t="n"/>
      <c r="H90" s="30" t="n"/>
    </row>
    <row r="91">
      <c r="G91" s="30" t="n"/>
      <c r="H91" s="30" t="n"/>
    </row>
    <row r="92">
      <c r="G92" s="30" t="n"/>
      <c r="H92" s="30" t="n"/>
    </row>
    <row r="93">
      <c r="G93" s="30" t="n"/>
      <c r="H93" s="30" t="n"/>
    </row>
    <row r="94">
      <c r="G94" s="30" t="n"/>
      <c r="H94" s="30" t="n"/>
    </row>
    <row r="95">
      <c r="G95" s="30" t="n"/>
      <c r="H95" s="30" t="n"/>
    </row>
    <row r="96">
      <c r="G96" s="30" t="n"/>
      <c r="H96" s="30" t="n"/>
    </row>
    <row r="97">
      <c r="G97" s="30" t="n"/>
      <c r="H97" s="30" t="n"/>
    </row>
    <row r="98">
      <c r="G98" s="30" t="n"/>
      <c r="H98" s="30" t="n"/>
    </row>
    <row r="99">
      <c r="G99" s="30" t="n"/>
      <c r="H99" s="30" t="n"/>
    </row>
    <row r="100">
      <c r="G100" s="30" t="n"/>
      <c r="H100" s="30" t="n"/>
    </row>
    <row r="101">
      <c r="G101" s="30" t="n"/>
      <c r="H101" s="30" t="n"/>
    </row>
    <row r="102">
      <c r="G102" s="30" t="n"/>
      <c r="H102" s="30" t="n"/>
    </row>
    <row r="103">
      <c r="G103" s="30" t="n"/>
      <c r="H103" s="30" t="n"/>
    </row>
    <row r="104">
      <c r="G104" s="30" t="n"/>
      <c r="H104" s="30" t="n"/>
    </row>
    <row r="105">
      <c r="G105" s="30" t="n"/>
      <c r="H105" s="30" t="n"/>
    </row>
    <row r="106">
      <c r="G106" s="30" t="n"/>
      <c r="H106" s="30" t="n"/>
    </row>
    <row r="107">
      <c r="G107" s="30" t="n"/>
      <c r="H107" s="30" t="n"/>
    </row>
    <row r="108">
      <c r="G108" s="30" t="n"/>
      <c r="H108" s="30" t="n"/>
    </row>
    <row r="109">
      <c r="G109" s="30" t="n"/>
      <c r="H109" s="30" t="n"/>
    </row>
    <row r="110">
      <c r="G110" s="30" t="n"/>
      <c r="H110" s="30" t="n"/>
    </row>
    <row r="111">
      <c r="G111" s="30" t="n"/>
      <c r="H111" s="30" t="n"/>
    </row>
    <row r="112">
      <c r="G112" s="30" t="n"/>
      <c r="H112" s="30" t="n"/>
    </row>
    <row r="113">
      <c r="G113" s="30" t="n"/>
      <c r="H113" s="30" t="n"/>
    </row>
    <row r="114">
      <c r="G114" s="30" t="n"/>
      <c r="H114" s="30" t="n"/>
    </row>
    <row r="115">
      <c r="G115" s="30" t="n"/>
      <c r="H115" s="30" t="n"/>
    </row>
  </sheetData>
  <autoFilter ref="A1:H15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85" zoomScaleNormal="85" workbookViewId="0">
      <selection activeCell="C12" sqref="C12"/>
    </sheetView>
  </sheetViews>
  <sheetFormatPr baseColWidth="8" defaultColWidth="9" defaultRowHeight="14" outlineLevelRow="6"/>
  <cols>
    <col width="13.1083333333333" customWidth="1" style="57" min="1" max="1"/>
    <col width="13.6666666666667" customWidth="1" style="57" min="2" max="2"/>
    <col width="17.5583333333333" customWidth="1" style="57" min="3" max="3"/>
    <col width="16.8833333333333" customWidth="1" style="57" min="4" max="4"/>
  </cols>
  <sheetData>
    <row r="1" ht="16.25" customHeight="1" s="57">
      <c r="A1" s="10" t="n"/>
      <c r="B1" s="11" t="inlineStr">
        <is>
          <t>josh</t>
        </is>
      </c>
      <c r="C1" s="12" t="inlineStr">
        <is>
          <t>mary</t>
        </is>
      </c>
      <c r="D1" s="13" t="inlineStr">
        <is>
          <t>Row</t>
        </is>
      </c>
    </row>
    <row r="2" ht="16.25" customHeight="1" s="57">
      <c r="A2" s="14" t="inlineStr">
        <is>
          <t>Daily</t>
        </is>
      </c>
      <c r="B2" s="15" t="n">
        <v>61</v>
      </c>
      <c r="C2" s="16" t="n">
        <v>61</v>
      </c>
      <c r="D2" s="76" t="n">
        <v>48219</v>
      </c>
    </row>
    <row r="3" ht="16.25" customHeight="1" s="57">
      <c r="A3" s="14" t="inlineStr">
        <is>
          <t>Weekly</t>
        </is>
      </c>
      <c r="B3" s="15" t="n">
        <v>0</v>
      </c>
      <c r="C3" s="16" t="n">
        <v>0</v>
      </c>
      <c r="D3" s="76" t="n">
        <v>0</v>
      </c>
    </row>
    <row r="4" ht="16.25" customHeight="1" s="57">
      <c r="A4" s="14" t="inlineStr">
        <is>
          <t>Monthly</t>
        </is>
      </c>
      <c r="B4" s="15" t="n">
        <v>78</v>
      </c>
      <c r="C4" s="16" t="n">
        <v>39</v>
      </c>
      <c r="D4" s="76" t="n">
        <v>49653</v>
      </c>
    </row>
    <row r="5" ht="16.25" customHeight="1" s="57">
      <c r="A5" s="14" t="inlineStr">
        <is>
          <t>Quarterly</t>
        </is>
      </c>
      <c r="B5" s="15" t="n">
        <v>0</v>
      </c>
      <c r="C5" s="16" t="n">
        <v>1</v>
      </c>
      <c r="D5" s="76" t="n">
        <v>85</v>
      </c>
    </row>
    <row r="6" ht="16.25" customHeight="1" s="57">
      <c r="A6" s="14" t="inlineStr">
        <is>
          <t>On request</t>
        </is>
      </c>
      <c r="B6" s="15" t="n">
        <v>11</v>
      </c>
      <c r="C6" s="16" t="n">
        <v>3</v>
      </c>
      <c r="D6" s="76" t="n">
        <v>2905</v>
      </c>
    </row>
    <row r="7" ht="16.25" customHeight="1" s="57">
      <c r="A7" s="18" t="inlineStr">
        <is>
          <t>In total</t>
        </is>
      </c>
      <c r="B7" s="19">
        <f>SUM(B2:B6)</f>
        <v/>
      </c>
      <c r="C7" s="19">
        <f>SUM(C2:C6)</f>
        <v/>
      </c>
      <c r="D7" s="77">
        <f>SUM(D2:D6)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H14" sqref="H14"/>
    </sheetView>
  </sheetViews>
  <sheetFormatPr baseColWidth="8" defaultColWidth="9" defaultRowHeight="14"/>
  <cols>
    <col width="34.1083333333333" customWidth="1" style="57" min="1" max="1"/>
    <col width="16.8833333333333" customWidth="1" style="57" min="2" max="2"/>
    <col width="15.8833333333333" customWidth="1" style="57" min="4" max="4"/>
  </cols>
  <sheetData>
    <row r="1">
      <c r="A1" s="1" t="inlineStr">
        <is>
          <t>Deposit_Main.XX</t>
        </is>
      </c>
      <c r="B1" s="1" t="n"/>
      <c r="C1" s="2" t="n">
        <v>686</v>
      </c>
      <c r="D1" s="3">
        <f>C1/C24</f>
        <v/>
      </c>
    </row>
    <row r="2">
      <c r="A2" s="4" t="inlineStr">
        <is>
          <t>libname.XX</t>
        </is>
      </c>
      <c r="B2" s="4" t="n"/>
      <c r="C2" s="5" t="n">
        <v>65</v>
      </c>
      <c r="D2" s="3">
        <f>C2/C24</f>
        <v/>
      </c>
    </row>
    <row r="3">
      <c r="A3" s="6" t="inlineStr">
        <is>
          <t>Read_In_IW_Data.XX</t>
        </is>
      </c>
      <c r="B3" s="6" t="n"/>
      <c r="C3" s="7" t="n">
        <v>84</v>
      </c>
      <c r="D3" s="3">
        <f>C3/C24</f>
        <v/>
      </c>
    </row>
    <row r="4">
      <c r="A4" s="4" t="inlineStr">
        <is>
          <t>Read_In_IW_Data3.XX</t>
        </is>
      </c>
      <c r="B4" s="4" t="n"/>
      <c r="C4" s="5" t="n">
        <v>109</v>
      </c>
      <c r="D4" s="3">
        <f>C4/C24</f>
        <v/>
      </c>
    </row>
    <row r="5">
      <c r="A5" s="4" t="inlineStr">
        <is>
          <t>Generate_Max_Rate2.XX</t>
        </is>
      </c>
      <c r="B5" s="4" t="n"/>
      <c r="C5" s="5" t="n">
        <v>36</v>
      </c>
      <c r="D5" s="3">
        <f>C5/C24</f>
        <v/>
      </c>
    </row>
    <row r="6">
      <c r="A6" s="4" t="inlineStr">
        <is>
          <t>Generate_Exception_Data.XX</t>
        </is>
      </c>
      <c r="B6" s="4" t="n"/>
      <c r="C6" s="5" t="n">
        <v>247</v>
      </c>
      <c r="D6" s="3">
        <f>C6/C24</f>
        <v/>
      </c>
    </row>
    <row r="7">
      <c r="A7" s="4" t="inlineStr">
        <is>
          <t>Generate_Exception2_Data.XX</t>
        </is>
      </c>
      <c r="B7" s="4" t="n"/>
      <c r="C7" s="5" t="n">
        <v>79</v>
      </c>
      <c r="D7" s="3">
        <f>C7/C24</f>
        <v/>
      </c>
    </row>
    <row r="8">
      <c r="A8" s="4" t="inlineStr">
        <is>
          <t>Generate_Exception3_Data.XX</t>
        </is>
      </c>
      <c r="B8" s="4" t="n"/>
      <c r="C8" s="5" t="n">
        <v>77</v>
      </c>
      <c r="D8" s="3">
        <f>C8/C24</f>
        <v/>
      </c>
    </row>
    <row r="9">
      <c r="A9" s="4" t="inlineStr">
        <is>
          <t>Generate_Exception383_Data.XX</t>
        </is>
      </c>
      <c r="B9" s="4" t="n"/>
      <c r="C9" s="5" t="n">
        <v>274</v>
      </c>
      <c r="D9" s="3">
        <f>C9/C24</f>
        <v/>
      </c>
    </row>
    <row r="10">
      <c r="A10" s="4" t="inlineStr">
        <is>
          <t>Generate_Exception390_Data.XX</t>
        </is>
      </c>
      <c r="B10" s="4" t="n"/>
      <c r="C10" s="5" t="n">
        <v>274</v>
      </c>
      <c r="D10" s="3">
        <f>C10/C25</f>
        <v/>
      </c>
    </row>
    <row r="11">
      <c r="A11" s="4" t="inlineStr">
        <is>
          <t>Export_Data_To_Excel.XX</t>
        </is>
      </c>
      <c r="B11" s="4" t="n"/>
      <c r="C11" s="5" t="n">
        <v>194</v>
      </c>
      <c r="D11" s="3">
        <f>C11/C25</f>
        <v/>
      </c>
    </row>
    <row r="12">
      <c r="A12" s="4" t="inlineStr">
        <is>
          <t>Calculate_Total_Deposit.XX</t>
        </is>
      </c>
      <c r="B12" s="4" t="n"/>
      <c r="C12" s="5" t="n">
        <v>99</v>
      </c>
      <c r="D12" s="3">
        <f>C12/8042</f>
        <v/>
      </c>
    </row>
    <row r="13">
      <c r="A13" s="4" t="inlineStr">
        <is>
          <t>Read_In_IW_Fixed_Dep_Full_Month.XX</t>
        </is>
      </c>
      <c r="B13" s="4" t="n"/>
      <c r="C13" s="5" t="n">
        <v>63</v>
      </c>
      <c r="D13" s="3">
        <f>C13/8042</f>
        <v/>
      </c>
    </row>
    <row r="14">
      <c r="A14" s="6" t="inlineStr">
        <is>
          <t>Read_in_IW_Savings_Dep.XX</t>
        </is>
      </c>
      <c r="B14" s="6" t="n"/>
      <c r="C14" s="7" t="n">
        <v>105</v>
      </c>
      <c r="D14" s="3">
        <f>C14/8042</f>
        <v/>
      </c>
    </row>
    <row r="15">
      <c r="A15" s="6" t="inlineStr">
        <is>
          <t>Read_In_IW_Sav_Margin.XX</t>
        </is>
      </c>
      <c r="B15" s="6" t="n"/>
      <c r="C15" s="7" t="n">
        <v>78</v>
      </c>
      <c r="D15" s="3">
        <f>C15/8042</f>
        <v/>
      </c>
    </row>
    <row r="16">
      <c r="A16" s="6" t="inlineStr">
        <is>
          <t>Read_In_IW_Sav_Builder.XX</t>
        </is>
      </c>
      <c r="B16" s="6" t="n"/>
      <c r="C16" s="7" t="n">
        <v>78</v>
      </c>
      <c r="D16" s="3">
        <f>C16/8042</f>
        <v/>
      </c>
    </row>
    <row r="17">
      <c r="A17" s="6" t="inlineStr">
        <is>
          <t>Read_In_IW_Fixed_Dep_OS.XX</t>
        </is>
      </c>
      <c r="B17" s="6" t="n"/>
      <c r="C17" s="7" t="n">
        <v>78</v>
      </c>
      <c r="D17" s="3">
        <f>C17/8042</f>
        <v/>
      </c>
    </row>
    <row r="18">
      <c r="A18" s="6" t="inlineStr">
        <is>
          <t>Read_In_IW_Fixed_Dep.XX</t>
        </is>
      </c>
      <c r="B18" s="6" t="n"/>
      <c r="C18" s="7" t="n">
        <v>110</v>
      </c>
      <c r="D18" s="3">
        <f>C18/8042</f>
        <v/>
      </c>
    </row>
    <row r="19">
      <c r="A19" s="6" t="inlineStr">
        <is>
          <t>Read_In_IW_Current_Dep.XX</t>
        </is>
      </c>
      <c r="B19" s="6" t="n"/>
      <c r="C19" s="7" t="n">
        <v>113</v>
      </c>
      <c r="D19" s="3">
        <f>C19/8042</f>
        <v/>
      </c>
    </row>
    <row r="20">
      <c r="A20" s="6" t="inlineStr">
        <is>
          <t>Read_In_IW_Loans_ALS.XX</t>
        </is>
      </c>
      <c r="B20" s="6" t="n"/>
      <c r="C20" s="7" t="n">
        <v>75</v>
      </c>
      <c r="D20" s="3">
        <f>C20/8042</f>
        <v/>
      </c>
    </row>
    <row r="21">
      <c r="A21" s="8" t="inlineStr">
        <is>
          <t>Generate_Exception_Statistics22.XX</t>
        </is>
      </c>
      <c r="B21" s="8" t="n"/>
      <c r="C21" s="9" t="n">
        <v>2786</v>
      </c>
      <c r="D21" s="3">
        <f>C21/8042</f>
        <v/>
      </c>
    </row>
    <row r="22">
      <c r="A22" s="4" t="inlineStr">
        <is>
          <t>Generate_Exception_Peter10.XX</t>
        </is>
      </c>
      <c r="B22" s="4" t="n"/>
      <c r="C22" s="5" t="n">
        <v>1241</v>
      </c>
      <c r="D22" s="3">
        <f>C22/8042</f>
        <v/>
      </c>
    </row>
    <row r="23">
      <c r="A23" s="4" t="inlineStr">
        <is>
          <t>Generate_Exception_Deposit_Dep10.XX</t>
        </is>
      </c>
      <c r="B23" s="4" t="n"/>
      <c r="C23" s="5" t="n">
        <v>1091</v>
      </c>
      <c r="D23" s="3">
        <f>C23/8042</f>
        <v/>
      </c>
    </row>
    <row r="24">
      <c r="A24" s="4" t="n"/>
      <c r="B24" s="4" t="n"/>
      <c r="C24">
        <f>SUM(C1:C23)</f>
        <v/>
      </c>
    </row>
    <row r="25">
      <c r="C25" t="n">
        <v>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 C T Chan</dc:creator>
  <dcterms:created xmlns:dcterms="http://purl.org/dc/terms/" xmlns:xsi="http://www.w3.org/2001/XMLSchema-instance" xsi:type="dcterms:W3CDTF">2025-11-06T08:20:00Z</dcterms:created>
  <dcterms:modified xmlns:dcterms="http://purl.org/dc/terms/" xmlns:xsi="http://www.w3.org/2001/XMLSchema-instance" xsi:type="dcterms:W3CDTF">2026-04-17T13:36:02Z</dcterms:modified>
  <cp:lastModifiedBy>fan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C4ECCF7DCECD4BACA6FC0F5EA07ADBB9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